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nlu\Desktop\"/>
    </mc:Choice>
  </mc:AlternateContent>
  <xr:revisionPtr revIDLastSave="0" documentId="8_{86020E47-3340-485B-8249-18575778CCC6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Table of Contents" sheetId="2" r:id="rId1"/>
    <sheet name="ANOVA" sheetId="13" r:id="rId2"/>
    <sheet name="Attribute Agreement" sheetId="6" r:id="rId3"/>
    <sheet name="Chi-Sq" sheetId="1" r:id="rId4"/>
    <sheet name="Control Charts" sheetId="8" r:id="rId5"/>
    <sheet name="DOE" sheetId="16" r:id="rId6"/>
    <sheet name="GAGE R R" sheetId="7" r:id="rId7"/>
    <sheet name="Paired T Test" sheetId="12" r:id="rId8"/>
    <sheet name="Pareto" sheetId="5" r:id="rId9"/>
    <sheet name="Process Capability" sheetId="10" r:id="rId10"/>
    <sheet name="Regression" sheetId="11" r:id="rId11"/>
    <sheet name="Two Proportions" sheetId="4" r:id="rId12"/>
    <sheet name="Two Sample T Test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H10" i="1" l="1"/>
  <c r="H2" i="1"/>
  <c r="I2" i="1" l="1"/>
  <c r="E5" i="1"/>
  <c r="G5" i="1"/>
  <c r="F5" i="1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2" i="16"/>
  <c r="F6" i="1" l="1"/>
  <c r="F14" i="1"/>
  <c r="F15" i="1" s="1"/>
  <c r="G6" i="1"/>
  <c r="G14" i="1"/>
  <c r="G15" i="1" s="1"/>
  <c r="E6" i="1"/>
  <c r="E14" i="1"/>
  <c r="E15" i="1" s="1"/>
  <c r="D5" i="1"/>
  <c r="C5" i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2" i="9"/>
  <c r="C14" i="1" l="1"/>
  <c r="C15" i="1" s="1"/>
  <c r="C6" i="1"/>
  <c r="D6" i="1"/>
  <c r="D14" i="1"/>
  <c r="D15" i="1" s="1"/>
  <c r="C3" i="11"/>
  <c r="C4" i="11"/>
  <c r="C6" i="11"/>
  <c r="C7" i="11"/>
  <c r="C8" i="11"/>
  <c r="C9" i="11"/>
  <c r="C10" i="11"/>
  <c r="C11" i="11"/>
  <c r="C12" i="11"/>
  <c r="C13" i="11"/>
  <c r="C15" i="11"/>
  <c r="C16" i="11"/>
  <c r="C17" i="11"/>
  <c r="C18" i="11"/>
  <c r="C19" i="11"/>
  <c r="C20" i="11"/>
  <c r="C21" i="11"/>
  <c r="C24" i="11"/>
  <c r="C25" i="11"/>
  <c r="C26" i="11"/>
  <c r="C27" i="11"/>
  <c r="C2" i="11"/>
  <c r="H15" i="1" l="1"/>
  <c r="D5" i="4"/>
  <c r="C5" i="4"/>
  <c r="D11" i="1"/>
  <c r="E11" i="1"/>
  <c r="F11" i="1"/>
  <c r="G11" i="1"/>
  <c r="C11" i="1"/>
  <c r="D3" i="1"/>
  <c r="E3" i="1"/>
  <c r="F3" i="1"/>
  <c r="G3" i="1"/>
  <c r="C3" i="1"/>
  <c r="H3" i="1" l="1"/>
  <c r="I3" i="1" s="1"/>
  <c r="C7" i="1" s="1"/>
  <c r="D7" i="1"/>
  <c r="E7" i="1"/>
  <c r="F7" i="1"/>
  <c r="G7" i="1"/>
</calcChain>
</file>

<file path=xl/sharedStrings.xml><?xml version="1.0" encoding="utf-8"?>
<sst xmlns="http://schemas.openxmlformats.org/spreadsheetml/2006/main" count="1874" uniqueCount="135">
  <si>
    <t>Link to Dataset</t>
  </si>
  <si>
    <t>ANOVA or ANOM</t>
  </si>
  <si>
    <t>Attribute Agreement Analysis</t>
  </si>
  <si>
    <t>Chi-Sq test of multiple proportions</t>
  </si>
  <si>
    <t>Control Charts</t>
  </si>
  <si>
    <t>DOE</t>
  </si>
  <si>
    <t>GAGE R&amp;R</t>
  </si>
  <si>
    <t>Paired T Test</t>
  </si>
  <si>
    <t>Pareto Analysis</t>
  </si>
  <si>
    <t>Process Capability</t>
  </si>
  <si>
    <t>Regression</t>
  </si>
  <si>
    <t>Test of Two Proportions</t>
  </si>
  <si>
    <t>Two Sample T-Test</t>
  </si>
  <si>
    <t>Lot 1 failed calipers</t>
  </si>
  <si>
    <t>Lot 2</t>
  </si>
  <si>
    <t>Lot 3</t>
  </si>
  <si>
    <t>Lot 4</t>
  </si>
  <si>
    <t>ID</t>
  </si>
  <si>
    <t>Appraiser</t>
  </si>
  <si>
    <t>Sample</t>
  </si>
  <si>
    <t>Response</t>
  </si>
  <si>
    <t>Standard</t>
  </si>
  <si>
    <t>John</t>
  </si>
  <si>
    <t>Sheila</t>
  </si>
  <si>
    <t>Timothy</t>
  </si>
  <si>
    <t>Leslie</t>
  </si>
  <si>
    <t>Category</t>
  </si>
  <si>
    <t>Vehicle 1</t>
  </si>
  <si>
    <t>Vehicle 2</t>
  </si>
  <si>
    <t>Vehicle 3</t>
  </si>
  <si>
    <t>Vehicle 4</t>
  </si>
  <si>
    <t>Vehicle 5</t>
  </si>
  <si>
    <t>Total</t>
  </si>
  <si>
    <t>Expected</t>
  </si>
  <si>
    <t>Brake Warrantee Issues</t>
  </si>
  <si>
    <t>No Brake Warrantee Issues</t>
  </si>
  <si>
    <t>Expected Brake issues</t>
  </si>
  <si>
    <t>Chi-Sq Value, Brake Issues</t>
  </si>
  <si>
    <t>Expected no Brake issues</t>
  </si>
  <si>
    <t>Total Vehicles Produced</t>
  </si>
  <si>
    <t>Percent Defective:</t>
  </si>
  <si>
    <t>Total Chi Sq</t>
  </si>
  <si>
    <t>Critical Chi Sq Statistic</t>
  </si>
  <si>
    <t>Issues:  (Observed - Expected) ^2</t>
  </si>
  <si>
    <t>Sum[(Observed - Expected)^2/Expected]</t>
  </si>
  <si>
    <t>Brake Caliper Torsion IMR</t>
  </si>
  <si>
    <t>Month</t>
  </si>
  <si>
    <t>Cars Produced</t>
  </si>
  <si>
    <t>Subgroup</t>
  </si>
  <si>
    <t>XBarR Caliper Torsion</t>
  </si>
  <si>
    <t>Uchart Data:</t>
  </si>
  <si>
    <t>Month_1</t>
  </si>
  <si>
    <t>Airbags Produced</t>
  </si>
  <si>
    <t>Defects Identified</t>
  </si>
  <si>
    <t>Shift</t>
  </si>
  <si>
    <t>Ex Caliper Mold Diameter IMR</t>
  </si>
  <si>
    <t>Ex Caliper Mold Diameter RunCh</t>
  </si>
  <si>
    <t>1013</t>
  </si>
  <si>
    <t>192</t>
  </si>
  <si>
    <t>Before</t>
  </si>
  <si>
    <t>195</t>
  </si>
  <si>
    <t>191</t>
  </si>
  <si>
    <t>207</t>
  </si>
  <si>
    <t>194</t>
  </si>
  <si>
    <t>204</t>
  </si>
  <si>
    <t>1023</t>
  </si>
  <si>
    <t>206</t>
  </si>
  <si>
    <t>209</t>
  </si>
  <si>
    <t>198</t>
  </si>
  <si>
    <t>1017</t>
  </si>
  <si>
    <t>1005</t>
  </si>
  <si>
    <t>196</t>
  </si>
  <si>
    <t>1022</t>
  </si>
  <si>
    <t>203</t>
  </si>
  <si>
    <t>208</t>
  </si>
  <si>
    <t>197</t>
  </si>
  <si>
    <t>1014</t>
  </si>
  <si>
    <t>205</t>
  </si>
  <si>
    <t>1007</t>
  </si>
  <si>
    <t>1008</t>
  </si>
  <si>
    <t>200</t>
  </si>
  <si>
    <t>1000</t>
  </si>
  <si>
    <t>1016</t>
  </si>
  <si>
    <t>199</t>
  </si>
  <si>
    <t>1020</t>
  </si>
  <si>
    <t>After</t>
  </si>
  <si>
    <t>StdOrder</t>
  </si>
  <si>
    <t>RunOrder</t>
  </si>
  <si>
    <t>CenterPt</t>
  </si>
  <si>
    <t>Blocks</t>
  </si>
  <si>
    <t>Temp</t>
  </si>
  <si>
    <t>Vacuum</t>
  </si>
  <si>
    <t>Time</t>
  </si>
  <si>
    <t>Glue</t>
  </si>
  <si>
    <t>Airbag Seal Strength</t>
  </si>
  <si>
    <t>Airbag Seal Strength with Interaction</t>
  </si>
  <si>
    <t>Brand A</t>
  </si>
  <si>
    <t>Brand B</t>
  </si>
  <si>
    <t>Part</t>
  </si>
  <si>
    <t>Assessor</t>
  </si>
  <si>
    <t>A</t>
  </si>
  <si>
    <t>B</t>
  </si>
  <si>
    <t>C</t>
  </si>
  <si>
    <t>Device A</t>
  </si>
  <si>
    <t>Device B</t>
  </si>
  <si>
    <t>Differences</t>
  </si>
  <si>
    <t>Defect</t>
  </si>
  <si>
    <t>Brakes</t>
  </si>
  <si>
    <t>Airbags</t>
  </si>
  <si>
    <t>Emissions</t>
  </si>
  <si>
    <t>Electronics</t>
  </si>
  <si>
    <t>Propulsion</t>
  </si>
  <si>
    <t>Hardware</t>
  </si>
  <si>
    <t>Airbag tensile strength</t>
  </si>
  <si>
    <t>Single Linear Regression Example</t>
  </si>
  <si>
    <t>Ex Caliper Mold Diameter</t>
  </si>
  <si>
    <t>Ex Deslagger abrasion setting</t>
  </si>
  <si>
    <t>Multiple Linear Regression Example</t>
  </si>
  <si>
    <t>MR Ex Caliper Mold Diameter_1</t>
  </si>
  <si>
    <t>Ex Deslagger abrasion setting_1</t>
  </si>
  <si>
    <t>Ambient Temperature</t>
  </si>
  <si>
    <t>Relative Humidity</t>
  </si>
  <si>
    <t>Lub PH</t>
  </si>
  <si>
    <t>Abraizer machine</t>
  </si>
  <si>
    <t>Machine A</t>
  </si>
  <si>
    <t>Machine B</t>
  </si>
  <si>
    <t>Vendor 1</t>
  </si>
  <si>
    <t>Vendor 2</t>
  </si>
  <si>
    <t>Airbags with issues</t>
  </si>
  <si>
    <t>Total airbags used</t>
  </si>
  <si>
    <t>Defects per Airbag</t>
  </si>
  <si>
    <t>Trial</t>
  </si>
  <si>
    <t>WarRec</t>
  </si>
  <si>
    <t>Defects per Airbag_1</t>
  </si>
  <si>
    <t>Shift_1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</si>
</sst>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mmm\ yyyy"/>
    <numFmt numFmtId="167" formatCode="0.0%"/>
    <numFmt numFmtId="168" formatCode="_(* #,##0.0_);_(* \(#,##0.0\);_(* &quot;-&quot;??_);_(@_)"/>
    <numFmt numFmtId="169" formatCode="_(* #,##0.000_);_(* \(#,##0.000\);_(* &quot;-&quot;??_);_(@_)"/>
    <numFmt numFmtId="170" formatCode="_(* #,##0.00000_);_(* \(#,##0.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164" fontId="0" fillId="0" borderId="0" xfId="1" applyNumberFormat="1" applyFont="1" applyFill="1" applyBorder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1" xfId="0" applyFill="1" applyBorder="1"/>
    <xf numFmtId="2" fontId="0" fillId="0" borderId="0" xfId="0" applyNumberFormat="1"/>
    <xf numFmtId="43" fontId="0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43" fontId="1" fillId="2" borderId="0" xfId="1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43" fontId="0" fillId="2" borderId="0" xfId="0" applyNumberFormat="1" applyFill="1" applyAlignment="1">
      <alignment horizontal="center"/>
    </xf>
    <xf numFmtId="164" fontId="0" fillId="2" borderId="1" xfId="1" applyNumberFormat="1" applyFont="1" applyFill="1" applyBorder="1"/>
    <xf numFmtId="37" fontId="0" fillId="2" borderId="1" xfId="1" applyNumberFormat="1" applyFont="1" applyFill="1" applyBorder="1"/>
    <xf numFmtId="165" fontId="0" fillId="2" borderId="1" xfId="2" applyNumberFormat="1" applyFont="1" applyFill="1" applyBorder="1"/>
    <xf numFmtId="0" fontId="1" fillId="0" borderId="0" xfId="0" applyFont="1"/>
    <xf numFmtId="0" fontId="0" fillId="3" borderId="0" xfId="0" applyFill="1"/>
    <xf numFmtId="0" fontId="2" fillId="0" borderId="0" xfId="0" applyFont="1"/>
    <xf numFmtId="37" fontId="0" fillId="0" borderId="0" xfId="0" applyNumberFormat="1"/>
    <xf numFmtId="37" fontId="0" fillId="0" borderId="1" xfId="0" applyNumberFormat="1" applyBorder="1"/>
    <xf numFmtId="165" fontId="0" fillId="0" borderId="1" xfId="2" applyNumberFormat="1" applyFont="1" applyBorder="1"/>
    <xf numFmtId="168" fontId="0" fillId="2" borderId="1" xfId="1" applyNumberFormat="1" applyFont="1" applyFill="1" applyBorder="1"/>
    <xf numFmtId="168" fontId="0" fillId="2" borderId="0" xfId="1" applyNumberFormat="1" applyFont="1" applyFill="1" applyBorder="1"/>
    <xf numFmtId="43" fontId="1" fillId="2" borderId="1" xfId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0" fillId="2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3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3" fontId="1" fillId="2" borderId="1" xfId="1" applyFont="1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/>
    <xf numFmtId="43" fontId="0" fillId="0" borderId="1" xfId="0" applyNumberFormat="1" applyBorder="1"/>
    <xf numFmtId="0" fontId="0" fillId="0" borderId="1" xfId="0" quotePrefix="1" applyBorder="1"/>
    <xf numFmtId="43" fontId="0" fillId="0" borderId="1" xfId="1" applyFont="1" applyBorder="1"/>
    <xf numFmtId="43" fontId="0" fillId="0" borderId="1" xfId="1" applyFont="1" applyBorder="1" applyAlignment="1">
      <alignment horizontal="center" vertical="top"/>
    </xf>
    <xf numFmtId="168" fontId="0" fillId="0" borderId="1" xfId="1" applyNumberFormat="1" applyFont="1" applyBorder="1" applyAlignment="1">
      <alignment horizontal="center" vertical="top"/>
    </xf>
    <xf numFmtId="43" fontId="0" fillId="0" borderId="0" xfId="1" applyFont="1" applyFill="1"/>
    <xf numFmtId="43" fontId="0" fillId="2" borderId="1" xfId="1" applyFont="1" applyFill="1" applyBorder="1"/>
    <xf numFmtId="166" fontId="1" fillId="2" borderId="1" xfId="0" applyNumberFormat="1" applyFont="1" applyFill="1" applyBorder="1"/>
    <xf numFmtId="1" fontId="1" fillId="2" borderId="1" xfId="0" applyNumberFormat="1" applyFont="1" applyFill="1" applyBorder="1"/>
    <xf numFmtId="1" fontId="0" fillId="2" borderId="1" xfId="0" applyNumberFormat="1" applyFill="1" applyBorder="1"/>
    <xf numFmtId="167" fontId="1" fillId="2" borderId="1" xfId="2" applyNumberFormat="1" applyFont="1" applyFill="1" applyBorder="1"/>
    <xf numFmtId="169" fontId="0" fillId="0" borderId="0" xfId="1" applyNumberFormat="1" applyFont="1" applyFill="1"/>
    <xf numFmtId="170" fontId="0" fillId="0" borderId="0" xfId="1" applyNumberFormat="1" applyFont="1" applyFill="1"/>
    <xf numFmtId="170" fontId="1" fillId="2" borderId="1" xfId="1" applyNumberFormat="1" applyFont="1" applyFill="1" applyBorder="1"/>
    <xf numFmtId="169" fontId="1" fillId="2" borderId="1" xfId="1" applyNumberFormat="1" applyFont="1" applyFill="1" applyBorder="1"/>
    <xf numFmtId="169" fontId="1" fillId="0" borderId="0" xfId="1" applyNumberFormat="1" applyFont="1" applyFill="1"/>
    <xf numFmtId="0" fontId="2" fillId="2" borderId="1" xfId="0" applyFont="1" applyFill="1" applyBorder="1"/>
    <xf numFmtId="0" fontId="3" fillId="2" borderId="0" xfId="3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83820</xdr:colOff>
      <xdr:row>16</xdr:row>
      <xdr:rowOff>23362</xdr:rowOff>
    </xdr:from>
    <xdr:to>
      <xdr:col>9</xdr:col>
      <xdr:colOff>23106</xdr:colOff>
      <xdr:row>18</xdr:row>
      <xdr:rowOff>166365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4FF62A-FDBD-4C22-83D4-86FB2B13C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132322"/>
          <a:ext cx="2293866" cy="508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showGridLines="0" showRowColHeaders="0" zoomScale="130" zoomScaleNormal="130" workbookViewId="0">
      <selection activeCell="B5" sqref="B5"/>
    </sheetView>
  </sheetViews>
  <sheetFormatPr defaultRowHeight="14.4" x14ac:dyDescent="0.3"/>
  <cols>
    <col min="2" max="2" width="29.33203125" bestFit="1" customWidth="1"/>
  </cols>
  <sheetData>
    <row r="2" spans="2:2" x14ac:dyDescent="0.3">
      <c r="B2" t="s">
        <v>0</v>
      </c>
    </row>
    <row r="3" spans="2:2" x14ac:dyDescent="0.3">
      <c r="B3" s="2"/>
    </row>
    <row r="4" spans="2:2" x14ac:dyDescent="0.3">
      <c r="B4" s="55" t="s">
        <v>1</v>
      </c>
    </row>
    <row r="5" spans="2:2" x14ac:dyDescent="0.3">
      <c r="B5" s="55" t="s">
        <v>2</v>
      </c>
    </row>
    <row r="6" spans="2:2" x14ac:dyDescent="0.3">
      <c r="B6" s="55" t="s">
        <v>3</v>
      </c>
    </row>
    <row r="7" spans="2:2" x14ac:dyDescent="0.3">
      <c r="B7" s="55" t="s">
        <v>4</v>
      </c>
    </row>
    <row r="8" spans="2:2" x14ac:dyDescent="0.3">
      <c r="B8" s="55" t="s">
        <v>5</v>
      </c>
    </row>
    <row r="9" spans="2:2" x14ac:dyDescent="0.3">
      <c r="B9" s="55" t="s">
        <v>6</v>
      </c>
    </row>
    <row r="10" spans="2:2" x14ac:dyDescent="0.3">
      <c r="B10" s="55" t="s">
        <v>7</v>
      </c>
    </row>
    <row r="11" spans="2:2" x14ac:dyDescent="0.3">
      <c r="B11" s="55" t="s">
        <v>8</v>
      </c>
    </row>
    <row r="12" spans="2:2" x14ac:dyDescent="0.3">
      <c r="B12" s="55" t="s">
        <v>9</v>
      </c>
    </row>
    <row r="13" spans="2:2" x14ac:dyDescent="0.3">
      <c r="B13" s="55" t="s">
        <v>10</v>
      </c>
    </row>
    <row r="14" spans="2:2" x14ac:dyDescent="0.3">
      <c r="B14" s="55" t="s">
        <v>11</v>
      </c>
    </row>
    <row r="15" spans="2:2" x14ac:dyDescent="0.3">
      <c r="B15" s="55" t="s">
        <v>12</v>
      </c>
    </row>
  </sheetData>
  <sortState xmlns:xlrd2="http://schemas.microsoft.com/office/spreadsheetml/2017/richdata2" ref="B4:B16">
    <sortCondition ref="B4"/>
  </sortState>
  <hyperlinks>
    <hyperlink ref="B6" location="'Chi-Sq'!A1" display="Chi-Sq test of multiple proportions" xr:uid="{00000000-0004-0000-0000-000000000000}"/>
    <hyperlink ref="B14" location="'Two Proportions'!A1" display="Test of Two Proportions" xr:uid="{00000000-0004-0000-0000-000001000000}"/>
    <hyperlink ref="B11" location="Pareto!A1" display="Pareto Analysis" xr:uid="{00000000-0004-0000-0000-000002000000}"/>
    <hyperlink ref="B5" location="'Attribute Agreement'!A1" display="Attribute Agreement Analysis" xr:uid="{00000000-0004-0000-0000-000003000000}"/>
    <hyperlink ref="B7" location="'Control Charts'!A1" display="Control Charts" xr:uid="{00000000-0004-0000-0000-000004000000}"/>
    <hyperlink ref="B15" location="'Two Sample T Test'!A1" display="Two Sample T-Test" xr:uid="{00000000-0004-0000-0000-000005000000}"/>
    <hyperlink ref="B12" location="'Process Capability'!A1" display="Process Capability" xr:uid="{00000000-0004-0000-0000-000006000000}"/>
    <hyperlink ref="B13" location="Regression!A1" display="Regression" xr:uid="{00000000-0004-0000-0000-000007000000}"/>
    <hyperlink ref="B10" location="'Paired T Test'!A1" display="Paired T Test" xr:uid="{00000000-0004-0000-0000-000008000000}"/>
    <hyperlink ref="B4" location="ANOVA!A1" display="ANOVA or ANOM" xr:uid="{00000000-0004-0000-0000-000009000000}"/>
    <hyperlink ref="B8" location="DOE!A1" display="DOE" xr:uid="{00000000-0004-0000-0000-00000A000000}"/>
    <hyperlink ref="B9" location="'GAGE R R'!A1" display="GAGE R&amp;R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/>
  </sheetViews>
  <sheetFormatPr defaultRowHeight="14.4" x14ac:dyDescent="0.3"/>
  <cols>
    <col min="1" max="1" width="16.6640625" style="49" bestFit="1" customWidth="1"/>
    <col min="2" max="4" width="8.6640625" style="49"/>
  </cols>
  <sheetData>
    <row r="1" spans="1:6" x14ac:dyDescent="0.3">
      <c r="A1" s="52" t="s">
        <v>13</v>
      </c>
      <c r="B1" s="52" t="s">
        <v>14</v>
      </c>
      <c r="C1" s="52" t="s">
        <v>15</v>
      </c>
      <c r="D1" s="52" t="s">
        <v>16</v>
      </c>
      <c r="E1" s="16"/>
      <c r="F1" s="16"/>
    </row>
    <row r="2" spans="1:6" x14ac:dyDescent="0.3">
      <c r="A2" s="52">
        <v>409.5936510515013</v>
      </c>
      <c r="B2" s="52">
        <v>412.59799773851455</v>
      </c>
      <c r="C2" s="52">
        <v>413.59511441605366</v>
      </c>
      <c r="D2" s="52">
        <v>416.90899803602503</v>
      </c>
      <c r="E2" s="16"/>
      <c r="F2" s="16"/>
    </row>
    <row r="3" spans="1:6" x14ac:dyDescent="0.3">
      <c r="A3" s="52">
        <v>406.01774884677263</v>
      </c>
      <c r="B3" s="52">
        <v>424.45884493594218</v>
      </c>
      <c r="C3" s="52">
        <v>417.88562797399334</v>
      </c>
      <c r="D3" s="52">
        <v>404.42453177731085</v>
      </c>
      <c r="E3" s="16"/>
      <c r="F3" s="16"/>
    </row>
    <row r="4" spans="1:6" x14ac:dyDescent="0.3">
      <c r="A4" s="52">
        <v>439.92584969704808</v>
      </c>
      <c r="B4" s="52">
        <v>419.44502114094627</v>
      </c>
      <c r="C4" s="52">
        <v>423.26976542358568</v>
      </c>
      <c r="D4" s="52">
        <v>418.40687669607831</v>
      </c>
      <c r="E4" s="16"/>
      <c r="F4" s="16"/>
    </row>
    <row r="5" spans="1:6" x14ac:dyDescent="0.3">
      <c r="A5" s="52">
        <v>391.40561834422414</v>
      </c>
      <c r="B5" s="52">
        <v>398.38610500514551</v>
      </c>
      <c r="C5" s="52">
        <v>420.45608793538742</v>
      </c>
      <c r="D5" s="52">
        <v>395.68303036352881</v>
      </c>
      <c r="E5" s="16"/>
      <c r="F5" s="16"/>
    </row>
    <row r="6" spans="1:6" x14ac:dyDescent="0.3">
      <c r="A6" s="52">
        <v>403.66106954669658</v>
      </c>
      <c r="B6" s="52">
        <v>408.19937274387303</v>
      </c>
      <c r="C6" s="52">
        <v>409.56068810855419</v>
      </c>
      <c r="D6" s="52">
        <v>419.95076877118936</v>
      </c>
      <c r="E6" s="16"/>
      <c r="F6" s="16"/>
    </row>
    <row r="7" spans="1:6" x14ac:dyDescent="0.3">
      <c r="A7" s="52">
        <v>421.51284463219065</v>
      </c>
      <c r="B7" s="52">
        <v>418.57146695059686</v>
      </c>
      <c r="C7" s="52">
        <v>423.78541933115957</v>
      </c>
      <c r="D7" s="52">
        <v>423.01751072441391</v>
      </c>
      <c r="E7" s="16"/>
      <c r="F7" s="16"/>
    </row>
    <row r="8" spans="1:6" x14ac:dyDescent="0.3">
      <c r="A8" s="52">
        <v>421.26018334078503</v>
      </c>
      <c r="B8" s="52">
        <v>418.3843584796403</v>
      </c>
      <c r="C8" s="52">
        <v>431.36189858312565</v>
      </c>
      <c r="D8" s="52">
        <v>413.93234401795718</v>
      </c>
      <c r="E8" s="16"/>
      <c r="F8" s="16"/>
    </row>
    <row r="9" spans="1:6" x14ac:dyDescent="0.3">
      <c r="A9" s="52">
        <v>384.68601693973875</v>
      </c>
      <c r="B9" s="52">
        <v>403.02101658362369</v>
      </c>
      <c r="C9" s="52">
        <v>409.5141176525604</v>
      </c>
      <c r="D9" s="52">
        <v>408.68521859596768</v>
      </c>
      <c r="E9" s="16"/>
      <c r="F9" s="16"/>
    </row>
    <row r="10" spans="1:6" x14ac:dyDescent="0.3">
      <c r="A10" s="52">
        <v>390.06923734116003</v>
      </c>
      <c r="B10" s="52">
        <v>413.27357606878962</v>
      </c>
      <c r="C10" s="52">
        <v>402.73064490856552</v>
      </c>
      <c r="D10" s="52">
        <v>419.0361669063235</v>
      </c>
      <c r="E10" s="16"/>
      <c r="F10" s="16"/>
    </row>
    <row r="11" spans="1:6" x14ac:dyDescent="0.3">
      <c r="A11" s="52">
        <v>417.05079873671383</v>
      </c>
      <c r="B11" s="52">
        <v>425.89780422451395</v>
      </c>
      <c r="C11" s="52">
        <v>408.32504200867294</v>
      </c>
      <c r="D11" s="52">
        <v>429.57544906753299</v>
      </c>
      <c r="E11" s="16"/>
      <c r="F11" s="16"/>
    </row>
    <row r="12" spans="1:6" x14ac:dyDescent="0.3">
      <c r="A12" s="52">
        <v>409.48934641474028</v>
      </c>
      <c r="B12" s="52">
        <v>435.04242339746486</v>
      </c>
      <c r="C12" s="52">
        <v>394.18199680812012</v>
      </c>
      <c r="D12" s="52">
        <v>420.39175723633838</v>
      </c>
      <c r="E12" s="16"/>
      <c r="F12" s="16"/>
    </row>
    <row r="13" spans="1:6" x14ac:dyDescent="0.3">
      <c r="A13" s="52">
        <v>426.58400001238323</v>
      </c>
      <c r="B13" s="52">
        <v>420.51479707701185</v>
      </c>
      <c r="C13" s="52">
        <v>410.89699019242892</v>
      </c>
      <c r="D13" s="52">
        <v>403.93044044334431</v>
      </c>
      <c r="E13" s="16"/>
      <c r="F13" s="16"/>
    </row>
    <row r="14" spans="1:6" x14ac:dyDescent="0.3">
      <c r="A14" s="52">
        <v>401.41353688226184</v>
      </c>
      <c r="B14" s="52">
        <v>419.32248817515392</v>
      </c>
      <c r="C14" s="52">
        <v>414.55621489200257</v>
      </c>
      <c r="D14" s="52">
        <v>414.7994925659134</v>
      </c>
      <c r="E14" s="16"/>
      <c r="F14" s="16"/>
    </row>
    <row r="15" spans="1:6" x14ac:dyDescent="0.3">
      <c r="A15" s="52">
        <v>408.1949713020436</v>
      </c>
      <c r="B15" s="52">
        <v>424.57865353952258</v>
      </c>
      <c r="C15" s="52">
        <v>408.37489502328737</v>
      </c>
      <c r="D15" s="52">
        <v>407.50271252774286</v>
      </c>
      <c r="E15" s="16"/>
      <c r="F15" s="16"/>
    </row>
    <row r="16" spans="1:6" x14ac:dyDescent="0.3">
      <c r="A16" s="52">
        <v>421.21562610496494</v>
      </c>
      <c r="B16" s="52">
        <v>419.44106741863231</v>
      </c>
      <c r="C16" s="52">
        <v>409.5533600517964</v>
      </c>
      <c r="D16" s="52">
        <v>413.62850248294387</v>
      </c>
      <c r="E16" s="16"/>
      <c r="F16" s="16"/>
    </row>
    <row r="17" spans="1:6" x14ac:dyDescent="0.3">
      <c r="A17" s="52">
        <v>428.00410262224852</v>
      </c>
      <c r="B17" s="52">
        <v>396.90288629319792</v>
      </c>
      <c r="C17" s="52">
        <v>406.19451063427118</v>
      </c>
      <c r="D17" s="52">
        <v>421.4387731746786</v>
      </c>
      <c r="E17" s="16"/>
      <c r="F17" s="16"/>
    </row>
    <row r="18" spans="1:6" x14ac:dyDescent="0.3">
      <c r="A18" s="52">
        <v>422.48033111299611</v>
      </c>
      <c r="B18" s="52">
        <v>437.33837845161622</v>
      </c>
      <c r="C18" s="52">
        <v>430.89727411381273</v>
      </c>
      <c r="D18" s="52">
        <v>421.4288156356144</v>
      </c>
      <c r="E18" s="16"/>
      <c r="F18" s="16"/>
    </row>
    <row r="19" spans="1:6" x14ac:dyDescent="0.3">
      <c r="A19" s="52">
        <v>417.37036140553062</v>
      </c>
      <c r="B19" s="52">
        <v>416.79808200881394</v>
      </c>
      <c r="C19" s="52">
        <v>407.91354326269732</v>
      </c>
      <c r="D19" s="52">
        <v>415.2077221756004</v>
      </c>
      <c r="E19" s="16"/>
      <c r="F19" s="16"/>
    </row>
    <row r="20" spans="1:6" x14ac:dyDescent="0.3">
      <c r="A20" s="52">
        <v>413.80844681591969</v>
      </c>
      <c r="B20" s="52">
        <v>420.84381592333034</v>
      </c>
      <c r="C20" s="52">
        <v>418.07280227564894</v>
      </c>
      <c r="D20" s="52">
        <v>405.70137633869729</v>
      </c>
      <c r="E20" s="16"/>
      <c r="F20" s="16"/>
    </row>
    <row r="21" spans="1:6" x14ac:dyDescent="0.3">
      <c r="A21" s="52">
        <v>420.34363234231256</v>
      </c>
      <c r="B21" s="52">
        <v>407.08633251348408</v>
      </c>
      <c r="C21" s="52">
        <v>419.97799057382082</v>
      </c>
      <c r="D21" s="52">
        <v>408.45291574176809</v>
      </c>
      <c r="E21" s="16"/>
      <c r="F21" s="16"/>
    </row>
    <row r="22" spans="1:6" x14ac:dyDescent="0.3">
      <c r="A22" s="52">
        <v>410.83399610987414</v>
      </c>
      <c r="B22" s="52">
        <v>416.65851221162211</v>
      </c>
      <c r="C22" s="52">
        <v>427.25694517420129</v>
      </c>
      <c r="D22" s="52">
        <v>402.72209876268624</v>
      </c>
      <c r="E22" s="16"/>
      <c r="F22" s="16"/>
    </row>
    <row r="23" spans="1:6" x14ac:dyDescent="0.3">
      <c r="A23" s="52">
        <v>422.57410326401867</v>
      </c>
      <c r="B23" s="52">
        <v>423.59987525209067</v>
      </c>
      <c r="C23" s="52">
        <v>426.88357796313551</v>
      </c>
      <c r="D23" s="52">
        <v>408.13928413508512</v>
      </c>
      <c r="E23" s="16"/>
      <c r="F23" s="16"/>
    </row>
    <row r="24" spans="1:6" x14ac:dyDescent="0.3">
      <c r="A24" s="52">
        <v>423.5797426637493</v>
      </c>
      <c r="B24" s="52">
        <v>437.38163402066186</v>
      </c>
      <c r="C24" s="52">
        <v>407.63811939896323</v>
      </c>
      <c r="D24" s="52">
        <v>421.95189795046468</v>
      </c>
      <c r="E24" s="16"/>
      <c r="F24" s="16"/>
    </row>
    <row r="25" spans="1:6" x14ac:dyDescent="0.3">
      <c r="A25" s="52">
        <v>400.01692384092161</v>
      </c>
      <c r="B25" s="52">
        <v>407.42637928664101</v>
      </c>
      <c r="C25" s="52">
        <v>428.33038639284337</v>
      </c>
      <c r="D25" s="52">
        <v>401.83794605376426</v>
      </c>
      <c r="E25" s="16"/>
      <c r="F25" s="16"/>
    </row>
    <row r="26" spans="1:6" x14ac:dyDescent="0.3">
      <c r="A26" s="52">
        <v>406.48483673751565</v>
      </c>
      <c r="B26" s="52">
        <v>429.76916458198417</v>
      </c>
      <c r="C26" s="52">
        <v>410.56503230452165</v>
      </c>
      <c r="D26" s="52">
        <v>411.92838175994046</v>
      </c>
      <c r="E26" s="16"/>
      <c r="F26" s="16"/>
    </row>
    <row r="27" spans="1:6" x14ac:dyDescent="0.3">
      <c r="A27" s="52">
        <v>418.58946378482125</v>
      </c>
      <c r="B27" s="52">
        <v>413.57705282139472</v>
      </c>
      <c r="C27" s="52">
        <v>403.81884366415341</v>
      </c>
      <c r="D27" s="52">
        <v>399.54906647896865</v>
      </c>
      <c r="E27" s="16"/>
      <c r="F27" s="16"/>
    </row>
    <row r="28" spans="1:6" x14ac:dyDescent="0.3">
      <c r="A28" s="52">
        <v>446.04774131267328</v>
      </c>
      <c r="B28" s="52">
        <v>414.03027581646023</v>
      </c>
      <c r="C28" s="52">
        <v>420.01034540108748</v>
      </c>
      <c r="D28" s="52">
        <v>403.47562369768451</v>
      </c>
      <c r="E28" s="16"/>
      <c r="F28" s="16"/>
    </row>
    <row r="29" spans="1:6" x14ac:dyDescent="0.3">
      <c r="A29" s="52">
        <v>400.69963051177803</v>
      </c>
      <c r="B29" s="52">
        <v>429.52495062561792</v>
      </c>
      <c r="C29" s="52">
        <v>408.75929136177263</v>
      </c>
      <c r="D29" s="52">
        <v>415.17729693919392</v>
      </c>
      <c r="E29" s="16"/>
      <c r="F29" s="16"/>
    </row>
    <row r="30" spans="1:6" x14ac:dyDescent="0.3">
      <c r="A30" s="52">
        <v>426.17750473027451</v>
      </c>
      <c r="B30" s="52">
        <v>402.29916295161428</v>
      </c>
      <c r="C30" s="52">
        <v>408.77434560754682</v>
      </c>
      <c r="D30" s="52">
        <v>418.74067487829086</v>
      </c>
      <c r="E30" s="16"/>
      <c r="F30" s="16"/>
    </row>
    <row r="31" spans="1:6" x14ac:dyDescent="0.3">
      <c r="A31" s="52">
        <v>405.95979553284354</v>
      </c>
      <c r="B31" s="52">
        <v>420.26172517127316</v>
      </c>
      <c r="C31" s="52">
        <v>421.19438450618691</v>
      </c>
      <c r="D31" s="52">
        <v>427.97875901847578</v>
      </c>
      <c r="E31" s="16"/>
      <c r="F31" s="16"/>
    </row>
    <row r="32" spans="1:6" x14ac:dyDescent="0.3">
      <c r="A32" s="53"/>
      <c r="B32" s="53"/>
      <c r="C32" s="53"/>
      <c r="D32" s="53"/>
      <c r="E32" s="16"/>
      <c r="F32" s="16"/>
    </row>
    <row r="33" spans="1:6" x14ac:dyDescent="0.3">
      <c r="A33" s="53"/>
      <c r="B33" s="53"/>
      <c r="C33" s="53"/>
      <c r="D33" s="53"/>
      <c r="E33" s="16"/>
      <c r="F33" s="16"/>
    </row>
    <row r="34" spans="1:6" x14ac:dyDescent="0.3">
      <c r="A34" s="53"/>
      <c r="B34" s="53"/>
      <c r="C34" s="53"/>
      <c r="D34" s="53"/>
      <c r="E34" s="16"/>
      <c r="F34" s="16"/>
    </row>
    <row r="35" spans="1:6" x14ac:dyDescent="0.3">
      <c r="A35" s="53"/>
      <c r="B35" s="53"/>
      <c r="C35" s="53"/>
      <c r="D35" s="53"/>
      <c r="E35" s="16"/>
      <c r="F35" s="16"/>
    </row>
    <row r="36" spans="1:6" x14ac:dyDescent="0.3">
      <c r="A36" s="53"/>
      <c r="B36" s="53"/>
      <c r="C36" s="53"/>
      <c r="D36" s="53"/>
      <c r="E36" s="16"/>
      <c r="F36" s="16"/>
    </row>
    <row r="37" spans="1:6" x14ac:dyDescent="0.3">
      <c r="A37" s="53"/>
      <c r="B37" s="53"/>
      <c r="C37" s="53"/>
      <c r="D37" s="53"/>
      <c r="E37" s="16"/>
      <c r="F37" s="16"/>
    </row>
    <row r="38" spans="1:6" x14ac:dyDescent="0.3">
      <c r="A38" s="53"/>
      <c r="B38" s="53"/>
      <c r="C38" s="53"/>
      <c r="D38" s="53"/>
      <c r="E38" s="16"/>
      <c r="F38" s="16"/>
    </row>
    <row r="39" spans="1:6" x14ac:dyDescent="0.3">
      <c r="A39" s="53"/>
      <c r="B39" s="53"/>
      <c r="C39" s="53"/>
      <c r="D39" s="53"/>
      <c r="E39" s="16"/>
      <c r="F39" s="16"/>
    </row>
    <row r="40" spans="1:6" x14ac:dyDescent="0.3">
      <c r="A40" s="53"/>
      <c r="B40" s="53"/>
      <c r="C40" s="53"/>
      <c r="D40" s="53"/>
      <c r="E40" s="16"/>
      <c r="F40" s="16"/>
    </row>
    <row r="41" spans="1:6" x14ac:dyDescent="0.3">
      <c r="A41" s="53"/>
      <c r="B41" s="53"/>
      <c r="C41" s="53"/>
      <c r="D41" s="53"/>
      <c r="E41" s="16"/>
      <c r="F41" s="16"/>
    </row>
    <row r="42" spans="1:6" x14ac:dyDescent="0.3">
      <c r="A42" s="53"/>
      <c r="B42" s="53"/>
      <c r="C42" s="53"/>
      <c r="D42" s="53"/>
      <c r="E42" s="16"/>
      <c r="F42" s="16"/>
    </row>
    <row r="43" spans="1:6" x14ac:dyDescent="0.3">
      <c r="A43" s="53"/>
      <c r="B43" s="53"/>
      <c r="C43" s="53"/>
      <c r="D43" s="53"/>
      <c r="E43" s="16"/>
      <c r="F43" s="16"/>
    </row>
    <row r="44" spans="1:6" x14ac:dyDescent="0.3">
      <c r="A44" s="53"/>
      <c r="B44" s="53"/>
      <c r="C44" s="53"/>
      <c r="D44" s="53"/>
      <c r="E44" s="16"/>
      <c r="F44" s="16"/>
    </row>
    <row r="45" spans="1:6" x14ac:dyDescent="0.3">
      <c r="A45" s="53"/>
      <c r="B45" s="53"/>
      <c r="C45" s="53"/>
      <c r="D45" s="53"/>
      <c r="E45" s="16"/>
      <c r="F45" s="16"/>
    </row>
    <row r="46" spans="1:6" x14ac:dyDescent="0.3">
      <c r="A46" s="53"/>
      <c r="B46" s="53"/>
      <c r="C46" s="53"/>
      <c r="D46" s="53"/>
      <c r="E46" s="16"/>
      <c r="F46" s="16"/>
    </row>
    <row r="47" spans="1:6" x14ac:dyDescent="0.3">
      <c r="A47" s="53"/>
      <c r="B47" s="53"/>
      <c r="C47" s="53"/>
      <c r="D47" s="53"/>
      <c r="E47" s="16"/>
      <c r="F47" s="16"/>
    </row>
    <row r="48" spans="1:6" x14ac:dyDescent="0.3">
      <c r="A48" s="53"/>
      <c r="B48" s="53"/>
      <c r="C48" s="53"/>
      <c r="D48" s="53"/>
      <c r="E48" s="16"/>
      <c r="F48" s="16"/>
    </row>
    <row r="49" spans="1:6" x14ac:dyDescent="0.3">
      <c r="A49" s="53"/>
      <c r="B49" s="53"/>
      <c r="C49" s="53"/>
      <c r="D49" s="53"/>
      <c r="E49" s="16"/>
      <c r="F49" s="16"/>
    </row>
    <row r="50" spans="1:6" x14ac:dyDescent="0.3">
      <c r="A50" s="53"/>
      <c r="B50" s="53"/>
      <c r="C50" s="53"/>
      <c r="D50" s="53"/>
      <c r="E50" s="16"/>
      <c r="F50" s="16"/>
    </row>
    <row r="51" spans="1:6" x14ac:dyDescent="0.3">
      <c r="A51" s="53"/>
      <c r="B51" s="53"/>
      <c r="C51" s="53"/>
      <c r="D51" s="53"/>
      <c r="E51" s="16"/>
      <c r="F51" s="16"/>
    </row>
    <row r="52" spans="1:6" x14ac:dyDescent="0.3">
      <c r="A52" s="53"/>
      <c r="B52" s="53"/>
      <c r="C52" s="53"/>
      <c r="D52" s="53"/>
      <c r="E52" s="16"/>
      <c r="F52" s="16"/>
    </row>
    <row r="53" spans="1:6" x14ac:dyDescent="0.3">
      <c r="A53" s="53"/>
      <c r="B53" s="53"/>
      <c r="C53" s="53"/>
      <c r="D53" s="53"/>
      <c r="E53" s="16"/>
      <c r="F53" s="16"/>
    </row>
    <row r="54" spans="1:6" x14ac:dyDescent="0.3">
      <c r="A54" s="53"/>
      <c r="B54" s="53"/>
      <c r="C54" s="53"/>
      <c r="D54" s="53"/>
      <c r="E54" s="16"/>
      <c r="F54" s="16"/>
    </row>
    <row r="55" spans="1:6" x14ac:dyDescent="0.3">
      <c r="A55" s="53"/>
      <c r="B55" s="53"/>
      <c r="C55" s="53"/>
      <c r="D55" s="53"/>
      <c r="E55" s="16"/>
      <c r="F55" s="16"/>
    </row>
    <row r="56" spans="1:6" x14ac:dyDescent="0.3">
      <c r="A56" s="53"/>
      <c r="B56" s="53"/>
      <c r="C56" s="53"/>
      <c r="D56" s="53"/>
      <c r="E56" s="16"/>
      <c r="F56" s="16"/>
    </row>
    <row r="57" spans="1:6" x14ac:dyDescent="0.3">
      <c r="A57" s="53"/>
      <c r="B57" s="53"/>
      <c r="C57" s="53"/>
      <c r="D57" s="53"/>
      <c r="E57" s="16"/>
      <c r="F57" s="16"/>
    </row>
    <row r="58" spans="1:6" x14ac:dyDescent="0.3">
      <c r="A58" s="53"/>
      <c r="B58" s="53"/>
      <c r="C58" s="53"/>
      <c r="D58" s="53"/>
      <c r="E58" s="16"/>
      <c r="F58" s="16"/>
    </row>
    <row r="59" spans="1:6" x14ac:dyDescent="0.3">
      <c r="A59" s="53"/>
      <c r="B59" s="53"/>
      <c r="C59" s="53"/>
      <c r="D59" s="53"/>
      <c r="E59" s="16"/>
      <c r="F59" s="16"/>
    </row>
    <row r="60" spans="1:6" x14ac:dyDescent="0.3">
      <c r="A60" s="53"/>
      <c r="B60" s="53"/>
      <c r="C60" s="53"/>
      <c r="D60" s="53"/>
      <c r="E60" s="16"/>
      <c r="F60" s="16"/>
    </row>
    <row r="61" spans="1:6" x14ac:dyDescent="0.3">
      <c r="A61" s="53"/>
      <c r="B61" s="53"/>
      <c r="C61" s="53"/>
      <c r="D61" s="53"/>
      <c r="E61" s="16"/>
      <c r="F61" s="16"/>
    </row>
    <row r="62" spans="1:6" x14ac:dyDescent="0.3">
      <c r="A62" s="53"/>
      <c r="B62" s="53"/>
      <c r="C62" s="53"/>
      <c r="D62" s="53"/>
      <c r="E62" s="16"/>
      <c r="F62" s="16"/>
    </row>
    <row r="63" spans="1:6" x14ac:dyDescent="0.3">
      <c r="A63" s="53"/>
      <c r="B63" s="53"/>
      <c r="C63" s="53"/>
      <c r="D63" s="53"/>
      <c r="E63" s="16"/>
      <c r="F63" s="16"/>
    </row>
    <row r="64" spans="1:6" x14ac:dyDescent="0.3">
      <c r="A64" s="53"/>
      <c r="B64" s="53"/>
      <c r="C64" s="53"/>
      <c r="D64" s="53"/>
      <c r="E64" s="16"/>
      <c r="F64" s="16"/>
    </row>
    <row r="65" spans="1:6" x14ac:dyDescent="0.3">
      <c r="A65" s="53"/>
      <c r="B65" s="53"/>
      <c r="C65" s="53"/>
      <c r="D65" s="53"/>
      <c r="E65" s="16"/>
      <c r="F65" s="16"/>
    </row>
    <row r="66" spans="1:6" x14ac:dyDescent="0.3">
      <c r="A66" s="53"/>
      <c r="B66" s="53"/>
      <c r="C66" s="53"/>
      <c r="D66" s="53"/>
      <c r="E66" s="16"/>
      <c r="F66" s="16"/>
    </row>
    <row r="67" spans="1:6" x14ac:dyDescent="0.3">
      <c r="A67" s="53"/>
      <c r="B67" s="53"/>
      <c r="C67" s="53"/>
      <c r="D67" s="53"/>
      <c r="E67" s="16"/>
      <c r="F67" s="16"/>
    </row>
    <row r="68" spans="1:6" x14ac:dyDescent="0.3">
      <c r="A68" s="53"/>
      <c r="B68" s="53"/>
      <c r="C68" s="53"/>
      <c r="D68" s="53"/>
      <c r="E68" s="16"/>
      <c r="F68" s="16"/>
    </row>
    <row r="69" spans="1:6" x14ac:dyDescent="0.3">
      <c r="A69" s="53"/>
      <c r="B69" s="53"/>
      <c r="C69" s="53"/>
      <c r="D69" s="53"/>
      <c r="E69" s="16"/>
      <c r="F69" s="16"/>
    </row>
    <row r="70" spans="1:6" x14ac:dyDescent="0.3">
      <c r="A70" s="53"/>
      <c r="B70" s="53"/>
      <c r="C70" s="53"/>
      <c r="D70" s="53"/>
      <c r="E70" s="16"/>
      <c r="F70" s="16"/>
    </row>
    <row r="71" spans="1:6" x14ac:dyDescent="0.3">
      <c r="A71" s="53"/>
      <c r="B71" s="53"/>
      <c r="C71" s="53"/>
      <c r="D71" s="53"/>
      <c r="E71" s="16"/>
      <c r="F71" s="16"/>
    </row>
    <row r="72" spans="1:6" x14ac:dyDescent="0.3">
      <c r="A72" s="53"/>
      <c r="B72" s="53"/>
      <c r="C72" s="53"/>
      <c r="D72" s="53"/>
      <c r="E72" s="16"/>
      <c r="F72" s="16"/>
    </row>
    <row r="73" spans="1:6" x14ac:dyDescent="0.3">
      <c r="A73" s="53"/>
      <c r="B73" s="53"/>
      <c r="C73" s="53"/>
      <c r="D73" s="53"/>
      <c r="E73" s="16"/>
      <c r="F73" s="16"/>
    </row>
    <row r="74" spans="1:6" x14ac:dyDescent="0.3">
      <c r="A74" s="53"/>
      <c r="B74" s="53"/>
      <c r="C74" s="53"/>
      <c r="D74" s="53"/>
      <c r="E74" s="16"/>
      <c r="F74" s="16"/>
    </row>
    <row r="75" spans="1:6" x14ac:dyDescent="0.3">
      <c r="A75" s="53"/>
      <c r="B75" s="53"/>
      <c r="C75" s="53"/>
      <c r="D75" s="53"/>
      <c r="E75" s="16"/>
      <c r="F75" s="16"/>
    </row>
    <row r="76" spans="1:6" x14ac:dyDescent="0.3">
      <c r="A76" s="53"/>
      <c r="B76" s="53"/>
      <c r="C76" s="53"/>
      <c r="D76" s="53"/>
      <c r="E76" s="16"/>
      <c r="F76" s="16"/>
    </row>
    <row r="77" spans="1:6" x14ac:dyDescent="0.3">
      <c r="A77" s="53"/>
      <c r="B77" s="53"/>
      <c r="C77" s="53"/>
      <c r="D77" s="53"/>
      <c r="E77" s="16"/>
      <c r="F77" s="16"/>
    </row>
    <row r="78" spans="1:6" x14ac:dyDescent="0.3">
      <c r="A78" s="53"/>
      <c r="B78" s="53"/>
      <c r="C78" s="53"/>
      <c r="D78" s="53"/>
      <c r="E78" s="16"/>
      <c r="F78" s="16"/>
    </row>
    <row r="79" spans="1:6" x14ac:dyDescent="0.3">
      <c r="A79" s="53"/>
      <c r="B79" s="53"/>
      <c r="C79" s="53"/>
      <c r="D79" s="53"/>
      <c r="E79" s="16"/>
      <c r="F79" s="16"/>
    </row>
    <row r="80" spans="1:6" x14ac:dyDescent="0.3">
      <c r="A80" s="53"/>
      <c r="B80" s="53"/>
      <c r="C80" s="53"/>
      <c r="D80" s="53"/>
      <c r="E80" s="16"/>
      <c r="F80" s="16"/>
    </row>
    <row r="81" spans="1:6" x14ac:dyDescent="0.3">
      <c r="A81" s="53"/>
      <c r="B81" s="53"/>
      <c r="C81" s="53"/>
      <c r="D81" s="53"/>
      <c r="E81" s="16"/>
      <c r="F81" s="16"/>
    </row>
    <row r="82" spans="1:6" x14ac:dyDescent="0.3">
      <c r="A82" s="53"/>
      <c r="B82" s="53"/>
      <c r="C82" s="53"/>
      <c r="D82" s="53"/>
      <c r="E82" s="16"/>
      <c r="F82" s="16"/>
    </row>
    <row r="83" spans="1:6" x14ac:dyDescent="0.3">
      <c r="A83" s="53"/>
      <c r="B83" s="53"/>
      <c r="C83" s="53"/>
      <c r="D83" s="53"/>
      <c r="E83" s="16"/>
      <c r="F83" s="16"/>
    </row>
    <row r="84" spans="1:6" x14ac:dyDescent="0.3">
      <c r="A84" s="53"/>
      <c r="B84" s="53"/>
      <c r="C84" s="53"/>
      <c r="D84" s="53"/>
      <c r="E84" s="16"/>
      <c r="F84" s="16"/>
    </row>
    <row r="85" spans="1:6" x14ac:dyDescent="0.3">
      <c r="A85" s="53"/>
      <c r="B85" s="53"/>
      <c r="C85" s="53"/>
      <c r="D85" s="53"/>
      <c r="E85" s="16"/>
      <c r="F85" s="16"/>
    </row>
    <row r="86" spans="1:6" x14ac:dyDescent="0.3">
      <c r="A86" s="53"/>
      <c r="B86" s="53"/>
      <c r="C86" s="53"/>
      <c r="D86" s="53"/>
      <c r="E86" s="16"/>
      <c r="F86" s="16"/>
    </row>
    <row r="87" spans="1:6" x14ac:dyDescent="0.3">
      <c r="A87" s="53"/>
      <c r="B87" s="53"/>
      <c r="C87" s="53"/>
      <c r="D87" s="53"/>
      <c r="E87" s="16"/>
      <c r="F87" s="16"/>
    </row>
    <row r="88" spans="1:6" x14ac:dyDescent="0.3">
      <c r="A88" s="53"/>
      <c r="B88" s="53"/>
      <c r="C88" s="53"/>
      <c r="D88" s="53"/>
      <c r="E88" s="16"/>
      <c r="F88" s="16"/>
    </row>
    <row r="89" spans="1:6" x14ac:dyDescent="0.3">
      <c r="A89" s="53"/>
      <c r="B89" s="53"/>
      <c r="C89" s="53"/>
      <c r="D89" s="53"/>
      <c r="E89" s="16"/>
      <c r="F89" s="16"/>
    </row>
    <row r="90" spans="1:6" x14ac:dyDescent="0.3">
      <c r="A90" s="53"/>
      <c r="B90" s="53"/>
      <c r="C90" s="53"/>
      <c r="D90" s="53"/>
      <c r="E90" s="16"/>
      <c r="F90" s="16"/>
    </row>
    <row r="91" spans="1:6" x14ac:dyDescent="0.3">
      <c r="A91" s="53"/>
      <c r="B91" s="53"/>
      <c r="C91" s="53"/>
      <c r="D91" s="53"/>
      <c r="E91" s="16"/>
      <c r="F91" s="16"/>
    </row>
    <row r="92" spans="1:6" x14ac:dyDescent="0.3">
      <c r="A92" s="53"/>
      <c r="B92" s="53"/>
      <c r="C92" s="53"/>
      <c r="D92" s="53"/>
      <c r="E92" s="16"/>
      <c r="F92" s="16"/>
    </row>
    <row r="93" spans="1:6" x14ac:dyDescent="0.3">
      <c r="A93" s="53"/>
      <c r="B93" s="53"/>
      <c r="C93" s="53"/>
      <c r="D93" s="53"/>
      <c r="E93" s="16"/>
      <c r="F93" s="16"/>
    </row>
    <row r="94" spans="1:6" x14ac:dyDescent="0.3">
      <c r="A94" s="53"/>
      <c r="B94" s="53"/>
      <c r="C94" s="53"/>
      <c r="D94" s="53"/>
      <c r="E94" s="16"/>
      <c r="F94" s="16"/>
    </row>
    <row r="95" spans="1:6" x14ac:dyDescent="0.3">
      <c r="A95" s="53"/>
      <c r="B95" s="53"/>
      <c r="C95" s="53"/>
      <c r="D95" s="53"/>
      <c r="E95" s="16"/>
      <c r="F95" s="16"/>
    </row>
    <row r="96" spans="1:6" x14ac:dyDescent="0.3">
      <c r="A96" s="53"/>
      <c r="B96" s="53"/>
      <c r="C96" s="53"/>
      <c r="D96" s="53"/>
      <c r="E96" s="16"/>
      <c r="F96" s="16"/>
    </row>
    <row r="97" spans="1:6" x14ac:dyDescent="0.3">
      <c r="A97" s="53"/>
      <c r="B97" s="53"/>
      <c r="C97" s="53"/>
      <c r="D97" s="53"/>
      <c r="E97" s="16"/>
      <c r="F97" s="16"/>
    </row>
    <row r="98" spans="1:6" x14ac:dyDescent="0.3">
      <c r="A98" s="53"/>
      <c r="B98" s="53"/>
      <c r="C98" s="53"/>
      <c r="D98" s="53"/>
      <c r="E98" s="16"/>
      <c r="F98" s="16"/>
    </row>
    <row r="99" spans="1:6" x14ac:dyDescent="0.3">
      <c r="A99" s="53"/>
      <c r="B99" s="53"/>
      <c r="C99" s="53"/>
      <c r="D99" s="53"/>
      <c r="E99" s="16"/>
      <c r="F99" s="16"/>
    </row>
    <row r="100" spans="1:6" x14ac:dyDescent="0.3">
      <c r="A100" s="53"/>
      <c r="B100" s="53"/>
      <c r="C100" s="53"/>
      <c r="D100" s="53"/>
      <c r="E100" s="16"/>
      <c r="F100" s="16"/>
    </row>
    <row r="101" spans="1:6" x14ac:dyDescent="0.3">
      <c r="A101" s="53"/>
      <c r="B101" s="53"/>
      <c r="C101" s="53"/>
      <c r="D101" s="53"/>
      <c r="E101" s="16"/>
      <c r="F101" s="16"/>
    </row>
    <row r="102" spans="1:6" x14ac:dyDescent="0.3">
      <c r="A102" s="53"/>
      <c r="B102" s="53"/>
      <c r="C102" s="53"/>
      <c r="D102" s="53"/>
      <c r="E102" s="16"/>
      <c r="F102" s="16"/>
    </row>
    <row r="103" spans="1:6" x14ac:dyDescent="0.3">
      <c r="A103" s="53"/>
      <c r="B103" s="53"/>
      <c r="C103" s="53"/>
      <c r="D103" s="53"/>
      <c r="E103" s="16"/>
      <c r="F103" s="16"/>
    </row>
    <row r="104" spans="1:6" x14ac:dyDescent="0.3">
      <c r="A104" s="53"/>
      <c r="B104" s="53"/>
      <c r="C104" s="53"/>
      <c r="D104" s="53"/>
      <c r="E104" s="16"/>
      <c r="F104" s="16"/>
    </row>
    <row r="105" spans="1:6" x14ac:dyDescent="0.3">
      <c r="A105" s="53"/>
      <c r="B105" s="53"/>
      <c r="C105" s="53"/>
      <c r="D105" s="53"/>
      <c r="E105" s="16"/>
      <c r="F105" s="16"/>
    </row>
    <row r="106" spans="1:6" x14ac:dyDescent="0.3">
      <c r="A106" s="53"/>
      <c r="B106" s="53"/>
      <c r="C106" s="53"/>
      <c r="D106" s="53"/>
      <c r="E106" s="16"/>
      <c r="F106" s="16"/>
    </row>
    <row r="107" spans="1:6" x14ac:dyDescent="0.3">
      <c r="A107" s="53"/>
      <c r="B107" s="53"/>
      <c r="C107" s="53"/>
      <c r="D107" s="53"/>
      <c r="E107" s="16"/>
      <c r="F107" s="16"/>
    </row>
    <row r="108" spans="1:6" x14ac:dyDescent="0.3">
      <c r="A108" s="53"/>
      <c r="B108" s="53"/>
      <c r="C108" s="53"/>
      <c r="D108" s="53"/>
      <c r="E108" s="16"/>
      <c r="F108" s="16"/>
    </row>
    <row r="109" spans="1:6" x14ac:dyDescent="0.3">
      <c r="A109" s="53"/>
      <c r="B109" s="53"/>
      <c r="C109" s="53"/>
      <c r="D109" s="53"/>
      <c r="E109" s="16"/>
      <c r="F109" s="16"/>
    </row>
    <row r="110" spans="1:6" x14ac:dyDescent="0.3">
      <c r="A110" s="53"/>
      <c r="B110" s="53"/>
      <c r="C110" s="53"/>
      <c r="D110" s="53"/>
      <c r="E110" s="16"/>
      <c r="F110" s="16"/>
    </row>
    <row r="111" spans="1:6" x14ac:dyDescent="0.3">
      <c r="A111" s="53"/>
      <c r="B111" s="53"/>
      <c r="C111" s="53"/>
      <c r="D111" s="53"/>
      <c r="E111" s="16"/>
      <c r="F111" s="16"/>
    </row>
    <row r="112" spans="1:6" x14ac:dyDescent="0.3">
      <c r="A112" s="53"/>
      <c r="B112" s="53"/>
      <c r="C112" s="53"/>
      <c r="D112" s="53"/>
      <c r="E112" s="16"/>
      <c r="F112" s="16"/>
    </row>
    <row r="113" spans="1:6" x14ac:dyDescent="0.3">
      <c r="A113" s="53"/>
      <c r="B113" s="53"/>
      <c r="C113" s="53"/>
      <c r="D113" s="53"/>
      <c r="E113" s="16"/>
      <c r="F113" s="16"/>
    </row>
    <row r="114" spans="1:6" x14ac:dyDescent="0.3">
      <c r="A114" s="53"/>
      <c r="B114" s="53"/>
      <c r="C114" s="53"/>
      <c r="D114" s="53"/>
      <c r="E114" s="16"/>
      <c r="F114" s="16"/>
    </row>
    <row r="115" spans="1:6" x14ac:dyDescent="0.3">
      <c r="A115" s="53"/>
      <c r="B115" s="53"/>
      <c r="C115" s="53"/>
      <c r="D115" s="53"/>
      <c r="E115" s="16"/>
      <c r="F115" s="16"/>
    </row>
    <row r="116" spans="1:6" x14ac:dyDescent="0.3">
      <c r="A116" s="53"/>
      <c r="B116" s="53"/>
      <c r="C116" s="53"/>
      <c r="D116" s="53"/>
      <c r="E116" s="16"/>
      <c r="F116" s="16"/>
    </row>
    <row r="117" spans="1:6" x14ac:dyDescent="0.3">
      <c r="A117" s="53"/>
      <c r="B117" s="53"/>
      <c r="C117" s="53"/>
      <c r="D117" s="53"/>
      <c r="E117" s="16"/>
      <c r="F117" s="16"/>
    </row>
    <row r="118" spans="1:6" x14ac:dyDescent="0.3">
      <c r="A118" s="53"/>
      <c r="B118" s="53"/>
      <c r="C118" s="53"/>
      <c r="D118" s="53"/>
      <c r="E118" s="16"/>
      <c r="F118" s="16"/>
    </row>
    <row r="119" spans="1:6" x14ac:dyDescent="0.3">
      <c r="A119" s="53"/>
      <c r="B119" s="53"/>
      <c r="C119" s="53"/>
      <c r="D119" s="53"/>
      <c r="E119" s="16"/>
      <c r="F119" s="16"/>
    </row>
    <row r="120" spans="1:6" x14ac:dyDescent="0.3">
      <c r="A120" s="53"/>
      <c r="B120" s="53"/>
      <c r="C120" s="53"/>
      <c r="D120" s="53"/>
      <c r="E120" s="16"/>
      <c r="F120" s="16"/>
    </row>
    <row r="121" spans="1:6" x14ac:dyDescent="0.3">
      <c r="A121" s="53"/>
      <c r="B121" s="53"/>
      <c r="C121" s="53"/>
      <c r="D121" s="53"/>
      <c r="E121" s="16"/>
      <c r="F12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1"/>
  <sheetViews>
    <sheetView workbookViewId="0">
      <selection activeCell="I26" sqref="I26"/>
    </sheetView>
  </sheetViews>
  <sheetFormatPr defaultRowHeight="14.4" x14ac:dyDescent="0.3"/>
  <cols>
    <col min="1" max="3" width="9.33203125" style="2"/>
    <col min="4" max="4" width="8.88671875" style="2"/>
    <col min="5" max="5" width="9.33203125" style="2"/>
  </cols>
  <sheetData>
    <row r="1" spans="1:6" x14ac:dyDescent="0.3">
      <c r="A1" s="2" t="s">
        <v>17</v>
      </c>
      <c r="B1" s="4" t="s">
        <v>18</v>
      </c>
      <c r="C1" s="4" t="s">
        <v>20</v>
      </c>
      <c r="D1" s="4" t="s">
        <v>19</v>
      </c>
      <c r="E1" s="4" t="s">
        <v>131</v>
      </c>
      <c r="F1" s="4" t="s">
        <v>21</v>
      </c>
    </row>
    <row r="2" spans="1:6" x14ac:dyDescent="0.3">
      <c r="A2" s="2">
        <v>1</v>
      </c>
      <c r="B2" s="4" t="s">
        <v>22</v>
      </c>
      <c r="C2" s="4">
        <v>5</v>
      </c>
      <c r="D2" s="4">
        <v>1</v>
      </c>
      <c r="E2" s="4">
        <v>1</v>
      </c>
      <c r="F2" s="4">
        <v>5</v>
      </c>
    </row>
    <row r="3" spans="1:6" x14ac:dyDescent="0.3">
      <c r="A3" s="2">
        <v>2</v>
      </c>
      <c r="B3" s="4" t="s">
        <v>22</v>
      </c>
      <c r="C3" s="4">
        <v>5</v>
      </c>
      <c r="D3" s="4">
        <v>1</v>
      </c>
      <c r="E3" s="4">
        <v>2</v>
      </c>
      <c r="F3" s="4">
        <v>5</v>
      </c>
    </row>
    <row r="4" spans="1:6" x14ac:dyDescent="0.3">
      <c r="A4" s="2">
        <v>3</v>
      </c>
      <c r="B4" s="4" t="s">
        <v>22</v>
      </c>
      <c r="C4" s="4">
        <v>3</v>
      </c>
      <c r="D4" s="4">
        <v>2</v>
      </c>
      <c r="E4" s="4">
        <v>1</v>
      </c>
      <c r="F4" s="4">
        <v>3</v>
      </c>
    </row>
    <row r="5" spans="1:6" x14ac:dyDescent="0.3">
      <c r="A5" s="2">
        <v>4</v>
      </c>
      <c r="B5" s="4" t="s">
        <v>22</v>
      </c>
      <c r="C5" s="4">
        <v>3</v>
      </c>
      <c r="D5" s="4">
        <v>2</v>
      </c>
      <c r="E5" s="4">
        <v>2</v>
      </c>
      <c r="F5" s="4">
        <v>3</v>
      </c>
    </row>
    <row r="6" spans="1:6" x14ac:dyDescent="0.3">
      <c r="A6" s="2">
        <v>5</v>
      </c>
      <c r="B6" s="4" t="s">
        <v>22</v>
      </c>
      <c r="C6" s="4">
        <v>1</v>
      </c>
      <c r="D6" s="4">
        <v>3</v>
      </c>
      <c r="E6" s="4">
        <v>1</v>
      </c>
      <c r="F6" s="4">
        <v>1</v>
      </c>
    </row>
    <row r="7" spans="1:6" x14ac:dyDescent="0.3">
      <c r="A7" s="2">
        <v>6</v>
      </c>
      <c r="B7" s="4" t="s">
        <v>22</v>
      </c>
      <c r="C7" s="4">
        <v>1</v>
      </c>
      <c r="D7" s="4">
        <v>3</v>
      </c>
      <c r="E7" s="4">
        <v>2</v>
      </c>
      <c r="F7" s="4">
        <v>1</v>
      </c>
    </row>
    <row r="8" spans="1:6" x14ac:dyDescent="0.3">
      <c r="A8" s="2">
        <v>7</v>
      </c>
      <c r="B8" s="4" t="s">
        <v>22</v>
      </c>
      <c r="C8" s="4">
        <v>2</v>
      </c>
      <c r="D8" s="4">
        <v>4</v>
      </c>
      <c r="E8" s="4">
        <v>1</v>
      </c>
      <c r="F8" s="4">
        <v>2</v>
      </c>
    </row>
    <row r="9" spans="1:6" x14ac:dyDescent="0.3">
      <c r="A9" s="2">
        <v>8</v>
      </c>
      <c r="B9" s="4" t="s">
        <v>22</v>
      </c>
      <c r="C9" s="4">
        <v>2</v>
      </c>
      <c r="D9" s="4">
        <v>4</v>
      </c>
      <c r="E9" s="4">
        <v>2</v>
      </c>
      <c r="F9" s="4">
        <v>2</v>
      </c>
    </row>
    <row r="10" spans="1:6" x14ac:dyDescent="0.3">
      <c r="A10" s="2">
        <v>9</v>
      </c>
      <c r="B10" s="4" t="s">
        <v>22</v>
      </c>
      <c r="C10" s="4">
        <v>1</v>
      </c>
      <c r="D10" s="4">
        <v>5</v>
      </c>
      <c r="E10" s="4">
        <v>1</v>
      </c>
      <c r="F10" s="4">
        <v>1</v>
      </c>
    </row>
    <row r="11" spans="1:6" x14ac:dyDescent="0.3">
      <c r="A11" s="2">
        <v>10</v>
      </c>
      <c r="B11" s="4" t="s">
        <v>22</v>
      </c>
      <c r="C11" s="4">
        <v>1</v>
      </c>
      <c r="D11" s="4">
        <v>5</v>
      </c>
      <c r="E11" s="4">
        <v>2</v>
      </c>
      <c r="F11" s="4">
        <v>1</v>
      </c>
    </row>
    <row r="12" spans="1:6" x14ac:dyDescent="0.3">
      <c r="A12" s="2">
        <v>11</v>
      </c>
      <c r="B12" s="4" t="s">
        <v>22</v>
      </c>
      <c r="C12" s="4">
        <v>2</v>
      </c>
      <c r="D12" s="4">
        <v>6</v>
      </c>
      <c r="E12" s="4">
        <v>1</v>
      </c>
      <c r="F12" s="4">
        <v>3</v>
      </c>
    </row>
    <row r="13" spans="1:6" x14ac:dyDescent="0.3">
      <c r="A13" s="2">
        <v>12</v>
      </c>
      <c r="B13" s="4" t="s">
        <v>22</v>
      </c>
      <c r="C13" s="4">
        <v>3</v>
      </c>
      <c r="D13" s="4">
        <v>6</v>
      </c>
      <c r="E13" s="4">
        <v>2</v>
      </c>
      <c r="F13" s="4">
        <v>3</v>
      </c>
    </row>
    <row r="14" spans="1:6" x14ac:dyDescent="0.3">
      <c r="A14" s="2">
        <v>13</v>
      </c>
      <c r="B14" s="4" t="s">
        <v>22</v>
      </c>
      <c r="C14" s="4">
        <v>4</v>
      </c>
      <c r="D14" s="4">
        <v>7</v>
      </c>
      <c r="E14" s="4">
        <v>1</v>
      </c>
      <c r="F14" s="4">
        <v>4</v>
      </c>
    </row>
    <row r="15" spans="1:6" x14ac:dyDescent="0.3">
      <c r="A15" s="2">
        <v>14</v>
      </c>
      <c r="B15" s="4" t="s">
        <v>22</v>
      </c>
      <c r="C15" s="4">
        <v>4</v>
      </c>
      <c r="D15" s="4">
        <v>7</v>
      </c>
      <c r="E15" s="4">
        <v>2</v>
      </c>
      <c r="F15" s="4">
        <v>4</v>
      </c>
    </row>
    <row r="16" spans="1:6" x14ac:dyDescent="0.3">
      <c r="A16" s="2">
        <v>15</v>
      </c>
      <c r="B16" s="4" t="s">
        <v>22</v>
      </c>
      <c r="C16" s="4">
        <v>5</v>
      </c>
      <c r="D16" s="4">
        <v>8</v>
      </c>
      <c r="E16" s="4">
        <v>1</v>
      </c>
      <c r="F16" s="4">
        <v>5</v>
      </c>
    </row>
    <row r="17" spans="1:6" x14ac:dyDescent="0.3">
      <c r="A17" s="2">
        <v>16</v>
      </c>
      <c r="B17" s="4" t="s">
        <v>22</v>
      </c>
      <c r="C17" s="4">
        <v>5</v>
      </c>
      <c r="D17" s="4">
        <v>8</v>
      </c>
      <c r="E17" s="4">
        <v>2</v>
      </c>
      <c r="F17" s="4">
        <v>5</v>
      </c>
    </row>
    <row r="18" spans="1:6" x14ac:dyDescent="0.3">
      <c r="A18" s="2">
        <v>17</v>
      </c>
      <c r="B18" s="4" t="s">
        <v>22</v>
      </c>
      <c r="C18" s="4">
        <v>2</v>
      </c>
      <c r="D18" s="4">
        <v>9</v>
      </c>
      <c r="E18" s="4">
        <v>1</v>
      </c>
      <c r="F18" s="4">
        <v>2</v>
      </c>
    </row>
    <row r="19" spans="1:6" x14ac:dyDescent="0.3">
      <c r="A19" s="2">
        <v>18</v>
      </c>
      <c r="B19" s="4" t="s">
        <v>22</v>
      </c>
      <c r="C19" s="4">
        <v>2</v>
      </c>
      <c r="D19" s="4">
        <v>9</v>
      </c>
      <c r="E19" s="4">
        <v>2</v>
      </c>
      <c r="F19" s="4">
        <v>2</v>
      </c>
    </row>
    <row r="20" spans="1:6" x14ac:dyDescent="0.3">
      <c r="A20" s="2">
        <v>19</v>
      </c>
      <c r="B20" s="4" t="s">
        <v>22</v>
      </c>
      <c r="C20" s="4">
        <v>1</v>
      </c>
      <c r="D20" s="4">
        <v>10</v>
      </c>
      <c r="E20" s="4">
        <v>1</v>
      </c>
      <c r="F20" s="4">
        <v>1</v>
      </c>
    </row>
    <row r="21" spans="1:6" x14ac:dyDescent="0.3">
      <c r="A21" s="2">
        <v>20</v>
      </c>
      <c r="B21" s="4" t="s">
        <v>22</v>
      </c>
      <c r="C21" s="4">
        <v>1</v>
      </c>
      <c r="D21" s="4">
        <v>10</v>
      </c>
      <c r="E21" s="4">
        <v>2</v>
      </c>
      <c r="F21" s="4">
        <v>1</v>
      </c>
    </row>
    <row r="22" spans="1:6" x14ac:dyDescent="0.3">
      <c r="A22" s="2">
        <v>21</v>
      </c>
      <c r="B22" s="4" t="s">
        <v>22</v>
      </c>
      <c r="C22" s="4">
        <v>5</v>
      </c>
      <c r="D22" s="4">
        <v>11</v>
      </c>
      <c r="E22" s="4">
        <v>1</v>
      </c>
      <c r="F22" s="4">
        <v>5</v>
      </c>
    </row>
    <row r="23" spans="1:6" x14ac:dyDescent="0.3">
      <c r="A23" s="2">
        <v>22</v>
      </c>
      <c r="B23" s="4" t="s">
        <v>22</v>
      </c>
      <c r="C23" s="4">
        <v>5</v>
      </c>
      <c r="D23" s="4">
        <v>11</v>
      </c>
      <c r="E23" s="4">
        <v>2</v>
      </c>
      <c r="F23" s="4">
        <v>5</v>
      </c>
    </row>
    <row r="24" spans="1:6" x14ac:dyDescent="0.3">
      <c r="A24" s="2">
        <v>23</v>
      </c>
      <c r="B24" s="4" t="s">
        <v>22</v>
      </c>
      <c r="C24" s="4">
        <v>4</v>
      </c>
      <c r="D24" s="4">
        <v>12</v>
      </c>
      <c r="E24" s="4">
        <v>1</v>
      </c>
      <c r="F24" s="4">
        <v>4</v>
      </c>
    </row>
    <row r="25" spans="1:6" x14ac:dyDescent="0.3">
      <c r="A25" s="2">
        <v>24</v>
      </c>
      <c r="B25" s="4" t="s">
        <v>22</v>
      </c>
      <c r="C25" s="4">
        <v>4</v>
      </c>
      <c r="D25" s="4">
        <v>12</v>
      </c>
      <c r="E25" s="4">
        <v>2</v>
      </c>
      <c r="F25" s="4">
        <v>4</v>
      </c>
    </row>
    <row r="26" spans="1:6" x14ac:dyDescent="0.3">
      <c r="A26" s="2">
        <v>25</v>
      </c>
      <c r="B26" s="4" t="s">
        <v>22</v>
      </c>
      <c r="C26" s="4">
        <v>1</v>
      </c>
      <c r="D26" s="4">
        <v>13</v>
      </c>
      <c r="E26" s="4">
        <v>1</v>
      </c>
      <c r="F26" s="4">
        <v>1</v>
      </c>
    </row>
    <row r="27" spans="1:6" x14ac:dyDescent="0.3">
      <c r="A27" s="2">
        <v>26</v>
      </c>
      <c r="B27" s="4" t="s">
        <v>22</v>
      </c>
      <c r="C27" s="4">
        <v>1</v>
      </c>
      <c r="D27" s="4">
        <v>13</v>
      </c>
      <c r="E27" s="4">
        <v>2</v>
      </c>
      <c r="F27" s="4">
        <v>1</v>
      </c>
    </row>
    <row r="28" spans="1:6" x14ac:dyDescent="0.3">
      <c r="A28" s="2">
        <v>27</v>
      </c>
      <c r="B28" s="4" t="s">
        <v>22</v>
      </c>
      <c r="C28" s="4">
        <v>3</v>
      </c>
      <c r="D28" s="4">
        <v>14</v>
      </c>
      <c r="E28" s="4">
        <v>1</v>
      </c>
      <c r="F28" s="4">
        <v>3</v>
      </c>
    </row>
    <row r="29" spans="1:6" x14ac:dyDescent="0.3">
      <c r="A29" s="2">
        <v>28</v>
      </c>
      <c r="B29" s="4" t="s">
        <v>22</v>
      </c>
      <c r="C29" s="4">
        <v>3</v>
      </c>
      <c r="D29" s="4">
        <v>14</v>
      </c>
      <c r="E29" s="4">
        <v>2</v>
      </c>
      <c r="F29" s="4">
        <v>3</v>
      </c>
    </row>
    <row r="30" spans="1:6" x14ac:dyDescent="0.3">
      <c r="A30" s="2">
        <v>29</v>
      </c>
      <c r="B30" s="4" t="s">
        <v>22</v>
      </c>
      <c r="C30" s="4">
        <v>2</v>
      </c>
      <c r="D30" s="4">
        <v>15</v>
      </c>
      <c r="E30" s="4">
        <v>1</v>
      </c>
      <c r="F30" s="4">
        <v>2</v>
      </c>
    </row>
    <row r="31" spans="1:6" x14ac:dyDescent="0.3">
      <c r="A31" s="2">
        <v>30</v>
      </c>
      <c r="B31" s="4" t="s">
        <v>22</v>
      </c>
      <c r="C31" s="4">
        <v>2</v>
      </c>
      <c r="D31" s="4">
        <v>15</v>
      </c>
      <c r="E31" s="4">
        <v>2</v>
      </c>
      <c r="F31" s="4">
        <v>2</v>
      </c>
    </row>
    <row r="32" spans="1:6" x14ac:dyDescent="0.3">
      <c r="A32" s="2">
        <v>31</v>
      </c>
      <c r="B32" s="4" t="s">
        <v>22</v>
      </c>
      <c r="C32" s="4">
        <v>4</v>
      </c>
      <c r="D32" s="4">
        <v>16</v>
      </c>
      <c r="E32" s="4">
        <v>1</v>
      </c>
      <c r="F32" s="4">
        <v>4</v>
      </c>
    </row>
    <row r="33" spans="1:6" x14ac:dyDescent="0.3">
      <c r="A33" s="2">
        <v>32</v>
      </c>
      <c r="B33" s="4" t="s">
        <v>22</v>
      </c>
      <c r="C33" s="4">
        <v>4</v>
      </c>
      <c r="D33" s="4">
        <v>16</v>
      </c>
      <c r="E33" s="4">
        <v>2</v>
      </c>
      <c r="F33" s="4">
        <v>4</v>
      </c>
    </row>
    <row r="34" spans="1:6" x14ac:dyDescent="0.3">
      <c r="A34" s="2">
        <v>33</v>
      </c>
      <c r="B34" s="4" t="s">
        <v>22</v>
      </c>
      <c r="C34" s="4">
        <v>1</v>
      </c>
      <c r="D34" s="4">
        <v>17</v>
      </c>
      <c r="E34" s="4">
        <v>1</v>
      </c>
      <c r="F34" s="4">
        <v>1</v>
      </c>
    </row>
    <row r="35" spans="1:6" x14ac:dyDescent="0.3">
      <c r="A35" s="2">
        <v>34</v>
      </c>
      <c r="B35" s="4" t="s">
        <v>22</v>
      </c>
      <c r="C35" s="4">
        <v>1</v>
      </c>
      <c r="D35" s="4">
        <v>17</v>
      </c>
      <c r="E35" s="4">
        <v>2</v>
      </c>
      <c r="F35" s="4">
        <v>1</v>
      </c>
    </row>
    <row r="36" spans="1:6" x14ac:dyDescent="0.3">
      <c r="A36" s="2">
        <v>35</v>
      </c>
      <c r="B36" s="4" t="s">
        <v>22</v>
      </c>
      <c r="C36" s="4">
        <v>2</v>
      </c>
      <c r="D36" s="4">
        <v>18</v>
      </c>
      <c r="E36" s="4">
        <v>1</v>
      </c>
      <c r="F36" s="4">
        <v>2</v>
      </c>
    </row>
    <row r="37" spans="1:6" x14ac:dyDescent="0.3">
      <c r="A37" s="2">
        <v>36</v>
      </c>
      <c r="B37" s="4" t="s">
        <v>22</v>
      </c>
      <c r="C37" s="4">
        <v>2</v>
      </c>
      <c r="D37" s="4">
        <v>18</v>
      </c>
      <c r="E37" s="4">
        <v>2</v>
      </c>
      <c r="F37" s="4">
        <v>2</v>
      </c>
    </row>
    <row r="38" spans="1:6" x14ac:dyDescent="0.3">
      <c r="A38" s="2">
        <v>37</v>
      </c>
      <c r="B38" s="4" t="s">
        <v>22</v>
      </c>
      <c r="C38" s="4">
        <v>3</v>
      </c>
      <c r="D38" s="4">
        <v>19</v>
      </c>
      <c r="E38" s="4">
        <v>1</v>
      </c>
      <c r="F38" s="4">
        <v>3</v>
      </c>
    </row>
    <row r="39" spans="1:6" x14ac:dyDescent="0.3">
      <c r="A39" s="2">
        <v>38</v>
      </c>
      <c r="B39" s="4" t="s">
        <v>22</v>
      </c>
      <c r="C39" s="4">
        <v>3</v>
      </c>
      <c r="D39" s="4">
        <v>19</v>
      </c>
      <c r="E39" s="4">
        <v>2</v>
      </c>
      <c r="F39" s="4">
        <v>3</v>
      </c>
    </row>
    <row r="40" spans="1:6" x14ac:dyDescent="0.3">
      <c r="A40" s="2">
        <v>39</v>
      </c>
      <c r="B40" s="4" t="s">
        <v>22</v>
      </c>
      <c r="C40" s="4">
        <v>5</v>
      </c>
      <c r="D40" s="4">
        <v>20</v>
      </c>
      <c r="E40" s="4">
        <v>1</v>
      </c>
      <c r="F40" s="4">
        <v>5</v>
      </c>
    </row>
    <row r="41" spans="1:6" x14ac:dyDescent="0.3">
      <c r="A41" s="2">
        <v>40</v>
      </c>
      <c r="B41" s="4" t="s">
        <v>22</v>
      </c>
      <c r="C41" s="4">
        <v>5</v>
      </c>
      <c r="D41" s="4">
        <v>20</v>
      </c>
      <c r="E41" s="4">
        <v>2</v>
      </c>
      <c r="F41" s="4">
        <v>5</v>
      </c>
    </row>
    <row r="42" spans="1:6" x14ac:dyDescent="0.3">
      <c r="A42" s="2">
        <v>41</v>
      </c>
      <c r="B42" s="4" t="s">
        <v>22</v>
      </c>
      <c r="C42" s="4">
        <v>5</v>
      </c>
      <c r="D42" s="4">
        <v>21</v>
      </c>
      <c r="E42" s="4">
        <v>1</v>
      </c>
      <c r="F42" s="4">
        <v>5</v>
      </c>
    </row>
    <row r="43" spans="1:6" x14ac:dyDescent="0.3">
      <c r="A43" s="2">
        <v>42</v>
      </c>
      <c r="B43" s="4" t="s">
        <v>22</v>
      </c>
      <c r="C43" s="4">
        <v>4</v>
      </c>
      <c r="D43" s="4">
        <v>21</v>
      </c>
      <c r="E43" s="4">
        <v>2</v>
      </c>
      <c r="F43" s="4">
        <v>5</v>
      </c>
    </row>
    <row r="44" spans="1:6" x14ac:dyDescent="0.3">
      <c r="A44" s="2">
        <v>43</v>
      </c>
      <c r="B44" s="4" t="s">
        <v>22</v>
      </c>
      <c r="C44" s="4">
        <v>4</v>
      </c>
      <c r="D44" s="4">
        <v>22</v>
      </c>
      <c r="E44" s="4">
        <v>1</v>
      </c>
      <c r="F44" s="4">
        <v>4</v>
      </c>
    </row>
    <row r="45" spans="1:6" x14ac:dyDescent="0.3">
      <c r="A45" s="2">
        <v>44</v>
      </c>
      <c r="B45" s="4" t="s">
        <v>22</v>
      </c>
      <c r="C45" s="4">
        <v>4</v>
      </c>
      <c r="D45" s="4">
        <v>22</v>
      </c>
      <c r="E45" s="4">
        <v>2</v>
      </c>
      <c r="F45" s="4">
        <v>4</v>
      </c>
    </row>
    <row r="46" spans="1:6" x14ac:dyDescent="0.3">
      <c r="A46" s="2">
        <v>45</v>
      </c>
      <c r="B46" s="4" t="s">
        <v>22</v>
      </c>
      <c r="C46" s="4">
        <v>3</v>
      </c>
      <c r="D46" s="4">
        <v>23</v>
      </c>
      <c r="E46" s="4">
        <v>1</v>
      </c>
      <c r="F46" s="4">
        <v>3</v>
      </c>
    </row>
    <row r="47" spans="1:6" x14ac:dyDescent="0.3">
      <c r="A47" s="2">
        <v>46</v>
      </c>
      <c r="B47" s="4" t="s">
        <v>22</v>
      </c>
      <c r="C47" s="4">
        <v>3</v>
      </c>
      <c r="D47" s="4">
        <v>23</v>
      </c>
      <c r="E47" s="4">
        <v>2</v>
      </c>
      <c r="F47" s="4">
        <v>3</v>
      </c>
    </row>
    <row r="48" spans="1:6" x14ac:dyDescent="0.3">
      <c r="A48" s="2">
        <v>47</v>
      </c>
      <c r="B48" s="4" t="s">
        <v>22</v>
      </c>
      <c r="C48" s="4">
        <v>2</v>
      </c>
      <c r="D48" s="4">
        <v>24</v>
      </c>
      <c r="E48" s="4">
        <v>1</v>
      </c>
      <c r="F48" s="4">
        <v>2</v>
      </c>
    </row>
    <row r="49" spans="1:6" x14ac:dyDescent="0.3">
      <c r="A49" s="2">
        <v>48</v>
      </c>
      <c r="B49" s="4" t="s">
        <v>22</v>
      </c>
      <c r="C49" s="4">
        <v>2</v>
      </c>
      <c r="D49" s="4">
        <v>24</v>
      </c>
      <c r="E49" s="4">
        <v>2</v>
      </c>
      <c r="F49" s="4">
        <v>2</v>
      </c>
    </row>
    <row r="50" spans="1:6" x14ac:dyDescent="0.3">
      <c r="A50" s="2">
        <v>49</v>
      </c>
      <c r="B50" s="4" t="s">
        <v>22</v>
      </c>
      <c r="C50" s="4">
        <v>2</v>
      </c>
      <c r="D50" s="4">
        <v>25</v>
      </c>
      <c r="E50" s="4">
        <v>1</v>
      </c>
      <c r="F50" s="4">
        <v>2</v>
      </c>
    </row>
    <row r="51" spans="1:6" x14ac:dyDescent="0.3">
      <c r="A51" s="2">
        <v>50</v>
      </c>
      <c r="B51" s="4" t="s">
        <v>22</v>
      </c>
      <c r="C51" s="4">
        <v>2</v>
      </c>
      <c r="D51" s="4">
        <v>25</v>
      </c>
      <c r="E51" s="4">
        <v>2</v>
      </c>
      <c r="F51" s="4">
        <v>2</v>
      </c>
    </row>
    <row r="52" spans="1:6" x14ac:dyDescent="0.3">
      <c r="A52" s="2">
        <v>51</v>
      </c>
      <c r="B52" s="4" t="s">
        <v>22</v>
      </c>
      <c r="C52" s="4">
        <v>4</v>
      </c>
      <c r="D52" s="4">
        <v>26</v>
      </c>
      <c r="E52" s="4">
        <v>1</v>
      </c>
      <c r="F52" s="4">
        <v>4</v>
      </c>
    </row>
    <row r="53" spans="1:6" x14ac:dyDescent="0.3">
      <c r="A53" s="2">
        <v>52</v>
      </c>
      <c r="B53" s="4" t="s">
        <v>22</v>
      </c>
      <c r="C53" s="4">
        <v>4</v>
      </c>
      <c r="D53" s="4">
        <v>26</v>
      </c>
      <c r="E53" s="4">
        <v>2</v>
      </c>
      <c r="F53" s="4">
        <v>4</v>
      </c>
    </row>
    <row r="54" spans="1:6" x14ac:dyDescent="0.3">
      <c r="A54" s="2">
        <v>53</v>
      </c>
      <c r="B54" s="4" t="s">
        <v>22</v>
      </c>
      <c r="C54" s="4">
        <v>1</v>
      </c>
      <c r="D54" s="4">
        <v>27</v>
      </c>
      <c r="E54" s="4">
        <v>1</v>
      </c>
      <c r="F54" s="4">
        <v>1</v>
      </c>
    </row>
    <row r="55" spans="1:6" x14ac:dyDescent="0.3">
      <c r="A55" s="2">
        <v>54</v>
      </c>
      <c r="B55" s="4" t="s">
        <v>22</v>
      </c>
      <c r="C55" s="4">
        <v>1</v>
      </c>
      <c r="D55" s="4">
        <v>27</v>
      </c>
      <c r="E55" s="4">
        <v>2</v>
      </c>
      <c r="F55" s="4">
        <v>1</v>
      </c>
    </row>
    <row r="56" spans="1:6" x14ac:dyDescent="0.3">
      <c r="A56" s="2">
        <v>55</v>
      </c>
      <c r="B56" s="4" t="s">
        <v>22</v>
      </c>
      <c r="C56" s="4">
        <v>2</v>
      </c>
      <c r="D56" s="4">
        <v>28</v>
      </c>
      <c r="E56" s="4">
        <v>1</v>
      </c>
      <c r="F56" s="4">
        <v>2</v>
      </c>
    </row>
    <row r="57" spans="1:6" x14ac:dyDescent="0.3">
      <c r="A57" s="2">
        <v>56</v>
      </c>
      <c r="B57" s="4" t="s">
        <v>22</v>
      </c>
      <c r="C57" s="4">
        <v>2</v>
      </c>
      <c r="D57" s="4">
        <v>28</v>
      </c>
      <c r="E57" s="4">
        <v>2</v>
      </c>
      <c r="F57" s="4">
        <v>2</v>
      </c>
    </row>
    <row r="58" spans="1:6" x14ac:dyDescent="0.3">
      <c r="A58" s="2">
        <v>57</v>
      </c>
      <c r="B58" s="4" t="s">
        <v>22</v>
      </c>
      <c r="C58" s="4">
        <v>5</v>
      </c>
      <c r="D58" s="4">
        <v>29</v>
      </c>
      <c r="E58" s="4">
        <v>1</v>
      </c>
      <c r="F58" s="4">
        <v>5</v>
      </c>
    </row>
    <row r="59" spans="1:6" x14ac:dyDescent="0.3">
      <c r="A59" s="2">
        <v>58</v>
      </c>
      <c r="B59" s="4" t="s">
        <v>22</v>
      </c>
      <c r="C59" s="4">
        <v>5</v>
      </c>
      <c r="D59" s="4">
        <v>29</v>
      </c>
      <c r="E59" s="4">
        <v>2</v>
      </c>
      <c r="F59" s="4">
        <v>5</v>
      </c>
    </row>
    <row r="60" spans="1:6" x14ac:dyDescent="0.3">
      <c r="A60" s="2">
        <v>59</v>
      </c>
      <c r="B60" s="4" t="s">
        <v>22</v>
      </c>
      <c r="C60" s="4">
        <v>3</v>
      </c>
      <c r="D60" s="4">
        <v>30</v>
      </c>
      <c r="E60" s="4">
        <v>1</v>
      </c>
      <c r="F60" s="4">
        <v>3</v>
      </c>
    </row>
    <row r="61" spans="1:6" x14ac:dyDescent="0.3">
      <c r="A61" s="2">
        <v>60</v>
      </c>
      <c r="B61" s="4" t="s">
        <v>22</v>
      </c>
      <c r="C61" s="4">
        <v>3</v>
      </c>
      <c r="D61" s="4">
        <v>30</v>
      </c>
      <c r="E61" s="4">
        <v>2</v>
      </c>
      <c r="F61" s="4">
        <v>3</v>
      </c>
    </row>
    <row r="62" spans="1:6" x14ac:dyDescent="0.3">
      <c r="A62" s="2">
        <v>61</v>
      </c>
      <c r="B62" s="4" t="s">
        <v>22</v>
      </c>
      <c r="C62" s="4">
        <v>5</v>
      </c>
      <c r="D62" s="4">
        <v>31</v>
      </c>
      <c r="E62" s="4">
        <v>1</v>
      </c>
      <c r="F62" s="4">
        <v>5</v>
      </c>
    </row>
    <row r="63" spans="1:6" x14ac:dyDescent="0.3">
      <c r="A63" s="2">
        <v>62</v>
      </c>
      <c r="B63" s="4" t="s">
        <v>22</v>
      </c>
      <c r="C63" s="4">
        <v>5</v>
      </c>
      <c r="D63" s="4">
        <v>31</v>
      </c>
      <c r="E63" s="4">
        <v>2</v>
      </c>
      <c r="F63" s="4">
        <v>5</v>
      </c>
    </row>
    <row r="64" spans="1:6" x14ac:dyDescent="0.3">
      <c r="A64" s="2">
        <v>63</v>
      </c>
      <c r="B64" s="4" t="s">
        <v>22</v>
      </c>
      <c r="C64" s="4">
        <v>2</v>
      </c>
      <c r="D64" s="4">
        <v>32</v>
      </c>
      <c r="E64" s="4">
        <v>1</v>
      </c>
      <c r="F64" s="4">
        <v>2</v>
      </c>
    </row>
    <row r="65" spans="1:6" x14ac:dyDescent="0.3">
      <c r="A65" s="2">
        <v>64</v>
      </c>
      <c r="B65" s="4" t="s">
        <v>22</v>
      </c>
      <c r="C65" s="4">
        <v>2</v>
      </c>
      <c r="D65" s="4">
        <v>32</v>
      </c>
      <c r="E65" s="4">
        <v>2</v>
      </c>
      <c r="F65" s="4">
        <v>2</v>
      </c>
    </row>
    <row r="66" spans="1:6" x14ac:dyDescent="0.3">
      <c r="A66" s="2">
        <v>65</v>
      </c>
      <c r="B66" s="4" t="s">
        <v>22</v>
      </c>
      <c r="C66" s="4">
        <v>1</v>
      </c>
      <c r="D66" s="4">
        <v>33</v>
      </c>
      <c r="E66" s="4">
        <v>1</v>
      </c>
      <c r="F66" s="4">
        <v>1</v>
      </c>
    </row>
    <row r="67" spans="1:6" x14ac:dyDescent="0.3">
      <c r="A67" s="2">
        <v>66</v>
      </c>
      <c r="B67" s="4" t="s">
        <v>22</v>
      </c>
      <c r="C67" s="4">
        <v>1</v>
      </c>
      <c r="D67" s="4">
        <v>33</v>
      </c>
      <c r="E67" s="4">
        <v>2</v>
      </c>
      <c r="F67" s="4">
        <v>1</v>
      </c>
    </row>
    <row r="68" spans="1:6" x14ac:dyDescent="0.3">
      <c r="A68" s="2">
        <v>67</v>
      </c>
      <c r="B68" s="4" t="s">
        <v>22</v>
      </c>
      <c r="C68" s="4">
        <v>3</v>
      </c>
      <c r="D68" s="4">
        <v>34</v>
      </c>
      <c r="E68" s="4">
        <v>1</v>
      </c>
      <c r="F68" s="4">
        <v>3</v>
      </c>
    </row>
    <row r="69" spans="1:6" x14ac:dyDescent="0.3">
      <c r="A69" s="2">
        <v>68</v>
      </c>
      <c r="B69" s="4" t="s">
        <v>22</v>
      </c>
      <c r="C69" s="4">
        <v>3</v>
      </c>
      <c r="D69" s="4">
        <v>34</v>
      </c>
      <c r="E69" s="4">
        <v>2</v>
      </c>
      <c r="F69" s="4">
        <v>3</v>
      </c>
    </row>
    <row r="70" spans="1:6" x14ac:dyDescent="0.3">
      <c r="A70" s="2">
        <v>69</v>
      </c>
      <c r="B70" s="4" t="s">
        <v>22</v>
      </c>
      <c r="C70" s="4">
        <v>1</v>
      </c>
      <c r="D70" s="4">
        <v>35</v>
      </c>
      <c r="E70" s="4">
        <v>1</v>
      </c>
      <c r="F70" s="4">
        <v>1</v>
      </c>
    </row>
    <row r="71" spans="1:6" x14ac:dyDescent="0.3">
      <c r="A71" s="2">
        <v>70</v>
      </c>
      <c r="B71" s="4" t="s">
        <v>22</v>
      </c>
      <c r="C71" s="4">
        <v>1</v>
      </c>
      <c r="D71" s="4">
        <v>35</v>
      </c>
      <c r="E71" s="4">
        <v>2</v>
      </c>
      <c r="F71" s="4">
        <v>1</v>
      </c>
    </row>
    <row r="72" spans="1:6" x14ac:dyDescent="0.3">
      <c r="A72" s="2">
        <v>71</v>
      </c>
      <c r="B72" s="4" t="s">
        <v>22</v>
      </c>
      <c r="C72" s="4">
        <v>3</v>
      </c>
      <c r="D72" s="4">
        <v>36</v>
      </c>
      <c r="E72" s="4">
        <v>1</v>
      </c>
      <c r="F72" s="4">
        <v>2</v>
      </c>
    </row>
    <row r="73" spans="1:6" x14ac:dyDescent="0.3">
      <c r="A73" s="2">
        <v>72</v>
      </c>
      <c r="B73" s="4" t="s">
        <v>22</v>
      </c>
      <c r="C73" s="4">
        <v>2</v>
      </c>
      <c r="D73" s="4">
        <v>36</v>
      </c>
      <c r="E73" s="4">
        <v>2</v>
      </c>
      <c r="F73" s="4">
        <v>2</v>
      </c>
    </row>
    <row r="74" spans="1:6" x14ac:dyDescent="0.3">
      <c r="A74" s="2">
        <v>73</v>
      </c>
      <c r="B74" s="4" t="s">
        <v>22</v>
      </c>
      <c r="C74" s="4">
        <v>4</v>
      </c>
      <c r="D74" s="4">
        <v>37</v>
      </c>
      <c r="E74" s="4">
        <v>1</v>
      </c>
      <c r="F74" s="4">
        <v>5</v>
      </c>
    </row>
    <row r="75" spans="1:6" x14ac:dyDescent="0.3">
      <c r="A75" s="2">
        <v>74</v>
      </c>
      <c r="B75" s="4" t="s">
        <v>22</v>
      </c>
      <c r="C75" s="4">
        <v>5</v>
      </c>
      <c r="D75" s="4">
        <v>37</v>
      </c>
      <c r="E75" s="4">
        <v>2</v>
      </c>
      <c r="F75" s="4">
        <v>5</v>
      </c>
    </row>
    <row r="76" spans="1:6" x14ac:dyDescent="0.3">
      <c r="A76" s="2">
        <v>75</v>
      </c>
      <c r="B76" s="4" t="s">
        <v>22</v>
      </c>
      <c r="C76" s="4">
        <v>4</v>
      </c>
      <c r="D76" s="4">
        <v>38</v>
      </c>
      <c r="E76" s="4">
        <v>1</v>
      </c>
      <c r="F76" s="4">
        <v>4</v>
      </c>
    </row>
    <row r="77" spans="1:6" x14ac:dyDescent="0.3">
      <c r="A77" s="2">
        <v>76</v>
      </c>
      <c r="B77" s="4" t="s">
        <v>22</v>
      </c>
      <c r="C77" s="4">
        <v>4</v>
      </c>
      <c r="D77" s="4">
        <v>38</v>
      </c>
      <c r="E77" s="4">
        <v>2</v>
      </c>
      <c r="F77" s="4">
        <v>4</v>
      </c>
    </row>
    <row r="78" spans="1:6" x14ac:dyDescent="0.3">
      <c r="A78" s="2">
        <v>77</v>
      </c>
      <c r="B78" s="4" t="s">
        <v>22</v>
      </c>
      <c r="C78" s="4">
        <v>2</v>
      </c>
      <c r="D78" s="4">
        <v>39</v>
      </c>
      <c r="E78" s="4">
        <v>1</v>
      </c>
      <c r="F78" s="4">
        <v>2</v>
      </c>
    </row>
    <row r="79" spans="1:6" x14ac:dyDescent="0.3">
      <c r="A79" s="2">
        <v>78</v>
      </c>
      <c r="B79" s="4" t="s">
        <v>22</v>
      </c>
      <c r="C79" s="4">
        <v>2</v>
      </c>
      <c r="D79" s="4">
        <v>39</v>
      </c>
      <c r="E79" s="4">
        <v>2</v>
      </c>
      <c r="F79" s="4">
        <v>2</v>
      </c>
    </row>
    <row r="80" spans="1:6" x14ac:dyDescent="0.3">
      <c r="A80" s="2">
        <v>79</v>
      </c>
      <c r="B80" s="4" t="s">
        <v>22</v>
      </c>
      <c r="C80" s="4">
        <v>3</v>
      </c>
      <c r="D80" s="4">
        <v>40</v>
      </c>
      <c r="E80" s="4">
        <v>1</v>
      </c>
      <c r="F80" s="4">
        <v>3</v>
      </c>
    </row>
    <row r="81" spans="1:6" x14ac:dyDescent="0.3">
      <c r="A81" s="2">
        <v>80</v>
      </c>
      <c r="B81" s="4" t="s">
        <v>22</v>
      </c>
      <c r="C81" s="4">
        <v>3</v>
      </c>
      <c r="D81" s="4">
        <v>40</v>
      </c>
      <c r="E81" s="4">
        <v>2</v>
      </c>
      <c r="F81" s="4">
        <v>3</v>
      </c>
    </row>
    <row r="82" spans="1:6" x14ac:dyDescent="0.3">
      <c r="A82" s="2">
        <v>81</v>
      </c>
      <c r="B82" s="4" t="s">
        <v>22</v>
      </c>
      <c r="C82" s="4">
        <v>1</v>
      </c>
      <c r="D82" s="4">
        <v>41</v>
      </c>
      <c r="E82" s="4">
        <v>1</v>
      </c>
      <c r="F82" s="4">
        <v>1</v>
      </c>
    </row>
    <row r="83" spans="1:6" x14ac:dyDescent="0.3">
      <c r="A83" s="2">
        <v>82</v>
      </c>
      <c r="B83" s="4" t="s">
        <v>22</v>
      </c>
      <c r="C83" s="4">
        <v>1</v>
      </c>
      <c r="D83" s="4">
        <v>41</v>
      </c>
      <c r="E83" s="4">
        <v>2</v>
      </c>
      <c r="F83" s="4">
        <v>1</v>
      </c>
    </row>
    <row r="84" spans="1:6" x14ac:dyDescent="0.3">
      <c r="A84" s="2">
        <v>83</v>
      </c>
      <c r="B84" s="4" t="s">
        <v>22</v>
      </c>
      <c r="C84" s="4">
        <v>2</v>
      </c>
      <c r="D84" s="4">
        <v>42</v>
      </c>
      <c r="E84" s="4">
        <v>1</v>
      </c>
      <c r="F84" s="4">
        <v>2</v>
      </c>
    </row>
    <row r="85" spans="1:6" x14ac:dyDescent="0.3">
      <c r="A85" s="2">
        <v>84</v>
      </c>
      <c r="B85" s="4" t="s">
        <v>22</v>
      </c>
      <c r="C85" s="4">
        <v>2</v>
      </c>
      <c r="D85" s="4">
        <v>42</v>
      </c>
      <c r="E85" s="4">
        <v>2</v>
      </c>
      <c r="F85" s="4">
        <v>2</v>
      </c>
    </row>
    <row r="86" spans="1:6" x14ac:dyDescent="0.3">
      <c r="A86" s="2">
        <v>85</v>
      </c>
      <c r="B86" s="4" t="s">
        <v>22</v>
      </c>
      <c r="C86" s="4">
        <v>2</v>
      </c>
      <c r="D86" s="4">
        <v>43</v>
      </c>
      <c r="E86" s="4">
        <v>1</v>
      </c>
      <c r="F86" s="4">
        <v>2</v>
      </c>
    </row>
    <row r="87" spans="1:6" x14ac:dyDescent="0.3">
      <c r="A87" s="2">
        <v>86</v>
      </c>
      <c r="B87" s="4" t="s">
        <v>22</v>
      </c>
      <c r="C87" s="4">
        <v>3</v>
      </c>
      <c r="D87" s="4">
        <v>43</v>
      </c>
      <c r="E87" s="4">
        <v>2</v>
      </c>
      <c r="F87" s="4">
        <v>2</v>
      </c>
    </row>
    <row r="88" spans="1:6" x14ac:dyDescent="0.3">
      <c r="A88" s="2">
        <v>87</v>
      </c>
      <c r="B88" s="4" t="s">
        <v>22</v>
      </c>
      <c r="C88" s="4">
        <v>3</v>
      </c>
      <c r="D88" s="4">
        <v>44</v>
      </c>
      <c r="E88" s="4">
        <v>1</v>
      </c>
      <c r="F88" s="4">
        <v>3</v>
      </c>
    </row>
    <row r="89" spans="1:6" x14ac:dyDescent="0.3">
      <c r="A89" s="2">
        <v>88</v>
      </c>
      <c r="B89" s="4" t="s">
        <v>22</v>
      </c>
      <c r="C89" s="4">
        <v>3</v>
      </c>
      <c r="D89" s="4">
        <v>44</v>
      </c>
      <c r="E89" s="4">
        <v>2</v>
      </c>
      <c r="F89" s="4">
        <v>3</v>
      </c>
    </row>
    <row r="90" spans="1:6" x14ac:dyDescent="0.3">
      <c r="A90" s="2">
        <v>89</v>
      </c>
      <c r="B90" s="4" t="s">
        <v>22</v>
      </c>
      <c r="C90" s="4">
        <v>3</v>
      </c>
      <c r="D90" s="4">
        <v>45</v>
      </c>
      <c r="E90" s="4">
        <v>1</v>
      </c>
      <c r="F90" s="4">
        <v>3</v>
      </c>
    </row>
    <row r="91" spans="1:6" x14ac:dyDescent="0.3">
      <c r="A91" s="2">
        <v>90</v>
      </c>
      <c r="B91" s="4" t="s">
        <v>22</v>
      </c>
      <c r="C91" s="4">
        <v>3</v>
      </c>
      <c r="D91" s="4">
        <v>45</v>
      </c>
      <c r="E91" s="4">
        <v>2</v>
      </c>
      <c r="F91" s="4">
        <v>3</v>
      </c>
    </row>
    <row r="92" spans="1:6" x14ac:dyDescent="0.3">
      <c r="A92" s="2">
        <v>91</v>
      </c>
      <c r="B92" s="4" t="s">
        <v>22</v>
      </c>
      <c r="C92" s="4">
        <v>5</v>
      </c>
      <c r="D92" s="4">
        <v>46</v>
      </c>
      <c r="E92" s="4">
        <v>1</v>
      </c>
      <c r="F92" s="4">
        <v>5</v>
      </c>
    </row>
    <row r="93" spans="1:6" x14ac:dyDescent="0.3">
      <c r="A93" s="2">
        <v>92</v>
      </c>
      <c r="B93" s="4" t="s">
        <v>22</v>
      </c>
      <c r="C93" s="4">
        <v>5</v>
      </c>
      <c r="D93" s="4">
        <v>46</v>
      </c>
      <c r="E93" s="4">
        <v>2</v>
      </c>
      <c r="F93" s="4">
        <v>5</v>
      </c>
    </row>
    <row r="94" spans="1:6" x14ac:dyDescent="0.3">
      <c r="A94" s="2">
        <v>93</v>
      </c>
      <c r="B94" s="4" t="s">
        <v>22</v>
      </c>
      <c r="C94" s="4">
        <v>4</v>
      </c>
      <c r="D94" s="4">
        <v>47</v>
      </c>
      <c r="E94" s="4">
        <v>1</v>
      </c>
      <c r="F94" s="4">
        <v>4</v>
      </c>
    </row>
    <row r="95" spans="1:6" x14ac:dyDescent="0.3">
      <c r="A95" s="2">
        <v>94</v>
      </c>
      <c r="B95" s="4" t="s">
        <v>22</v>
      </c>
      <c r="C95" s="4">
        <v>4</v>
      </c>
      <c r="D95" s="4">
        <v>47</v>
      </c>
      <c r="E95" s="4">
        <v>2</v>
      </c>
      <c r="F95" s="4">
        <v>4</v>
      </c>
    </row>
    <row r="96" spans="1:6" x14ac:dyDescent="0.3">
      <c r="A96" s="2">
        <v>95</v>
      </c>
      <c r="B96" s="4" t="s">
        <v>22</v>
      </c>
      <c r="C96" s="4">
        <v>5</v>
      </c>
      <c r="D96" s="4">
        <v>48</v>
      </c>
      <c r="E96" s="4">
        <v>1</v>
      </c>
      <c r="F96" s="4">
        <v>5</v>
      </c>
    </row>
    <row r="97" spans="1:6" x14ac:dyDescent="0.3">
      <c r="A97" s="2">
        <v>96</v>
      </c>
      <c r="B97" s="4" t="s">
        <v>22</v>
      </c>
      <c r="C97" s="4">
        <v>5</v>
      </c>
      <c r="D97" s="4">
        <v>48</v>
      </c>
      <c r="E97" s="4">
        <v>2</v>
      </c>
      <c r="F97" s="4">
        <v>5</v>
      </c>
    </row>
    <row r="98" spans="1:6" x14ac:dyDescent="0.3">
      <c r="A98" s="2">
        <v>97</v>
      </c>
      <c r="B98" s="4" t="s">
        <v>22</v>
      </c>
      <c r="C98" s="4">
        <v>4</v>
      </c>
      <c r="D98" s="4">
        <v>49</v>
      </c>
      <c r="E98" s="4">
        <v>1</v>
      </c>
      <c r="F98" s="4">
        <v>4</v>
      </c>
    </row>
    <row r="99" spans="1:6" x14ac:dyDescent="0.3">
      <c r="A99" s="2">
        <v>98</v>
      </c>
      <c r="B99" s="4" t="s">
        <v>22</v>
      </c>
      <c r="C99" s="4">
        <v>4</v>
      </c>
      <c r="D99" s="4">
        <v>49</v>
      </c>
      <c r="E99" s="4">
        <v>2</v>
      </c>
      <c r="F99" s="4">
        <v>4</v>
      </c>
    </row>
    <row r="100" spans="1:6" x14ac:dyDescent="0.3">
      <c r="A100" s="2">
        <v>99</v>
      </c>
      <c r="B100" s="4" t="s">
        <v>22</v>
      </c>
      <c r="C100" s="4">
        <v>1</v>
      </c>
      <c r="D100" s="4">
        <v>50</v>
      </c>
      <c r="E100" s="4">
        <v>1</v>
      </c>
      <c r="F100" s="4">
        <v>1</v>
      </c>
    </row>
    <row r="101" spans="1:6" x14ac:dyDescent="0.3">
      <c r="A101" s="2">
        <v>100</v>
      </c>
      <c r="B101" s="4" t="s">
        <v>22</v>
      </c>
      <c r="C101" s="4">
        <v>1</v>
      </c>
      <c r="D101" s="4">
        <v>50</v>
      </c>
      <c r="E101" s="4">
        <v>2</v>
      </c>
      <c r="F101" s="4">
        <v>1</v>
      </c>
    </row>
    <row r="102" spans="1:6" x14ac:dyDescent="0.3">
      <c r="A102" s="2">
        <v>101</v>
      </c>
      <c r="B102" s="4" t="s">
        <v>23</v>
      </c>
      <c r="C102" s="4">
        <v>5</v>
      </c>
      <c r="D102" s="4">
        <v>1</v>
      </c>
      <c r="E102" s="4">
        <v>1</v>
      </c>
      <c r="F102" s="4">
        <v>5</v>
      </c>
    </row>
    <row r="103" spans="1:6" x14ac:dyDescent="0.3">
      <c r="A103" s="2">
        <v>102</v>
      </c>
      <c r="B103" s="4" t="s">
        <v>23</v>
      </c>
      <c r="C103" s="4">
        <v>5</v>
      </c>
      <c r="D103" s="4">
        <v>1</v>
      </c>
      <c r="E103" s="4">
        <v>2</v>
      </c>
      <c r="F103" s="4">
        <v>5</v>
      </c>
    </row>
    <row r="104" spans="1:6" x14ac:dyDescent="0.3">
      <c r="A104" s="2">
        <v>103</v>
      </c>
      <c r="B104" s="4" t="s">
        <v>23</v>
      </c>
      <c r="C104" s="4">
        <v>3</v>
      </c>
      <c r="D104" s="4">
        <v>2</v>
      </c>
      <c r="E104" s="4">
        <v>1</v>
      </c>
      <c r="F104" s="4">
        <v>3</v>
      </c>
    </row>
    <row r="105" spans="1:6" x14ac:dyDescent="0.3">
      <c r="A105" s="2">
        <v>104</v>
      </c>
      <c r="B105" s="4" t="s">
        <v>23</v>
      </c>
      <c r="C105" s="4">
        <v>3</v>
      </c>
      <c r="D105" s="4">
        <v>2</v>
      </c>
      <c r="E105" s="4">
        <v>2</v>
      </c>
      <c r="F105" s="4">
        <v>3</v>
      </c>
    </row>
    <row r="106" spans="1:6" x14ac:dyDescent="0.3">
      <c r="A106" s="2">
        <v>105</v>
      </c>
      <c r="B106" s="4" t="s">
        <v>23</v>
      </c>
      <c r="C106" s="4">
        <v>1</v>
      </c>
      <c r="D106" s="4">
        <v>3</v>
      </c>
      <c r="E106" s="4">
        <v>1</v>
      </c>
      <c r="F106" s="4">
        <v>1</v>
      </c>
    </row>
    <row r="107" spans="1:6" x14ac:dyDescent="0.3">
      <c r="A107" s="2">
        <v>106</v>
      </c>
      <c r="B107" s="4" t="s">
        <v>23</v>
      </c>
      <c r="C107" s="4">
        <v>1</v>
      </c>
      <c r="D107" s="4">
        <v>3</v>
      </c>
      <c r="E107" s="4">
        <v>2</v>
      </c>
      <c r="F107" s="4">
        <v>1</v>
      </c>
    </row>
    <row r="108" spans="1:6" x14ac:dyDescent="0.3">
      <c r="A108" s="2">
        <v>107</v>
      </c>
      <c r="B108" s="4" t="s">
        <v>23</v>
      </c>
      <c r="C108" s="4">
        <v>2</v>
      </c>
      <c r="D108" s="4">
        <v>4</v>
      </c>
      <c r="E108" s="4">
        <v>1</v>
      </c>
      <c r="F108" s="4">
        <v>2</v>
      </c>
    </row>
    <row r="109" spans="1:6" x14ac:dyDescent="0.3">
      <c r="A109" s="2">
        <v>108</v>
      </c>
      <c r="B109" s="4" t="s">
        <v>23</v>
      </c>
      <c r="C109" s="4">
        <v>2</v>
      </c>
      <c r="D109" s="4">
        <v>4</v>
      </c>
      <c r="E109" s="4">
        <v>2</v>
      </c>
      <c r="F109" s="4">
        <v>2</v>
      </c>
    </row>
    <row r="110" spans="1:6" x14ac:dyDescent="0.3">
      <c r="A110" s="2">
        <v>109</v>
      </c>
      <c r="B110" s="4" t="s">
        <v>23</v>
      </c>
      <c r="C110" s="4">
        <v>1</v>
      </c>
      <c r="D110" s="4">
        <v>5</v>
      </c>
      <c r="E110" s="4">
        <v>1</v>
      </c>
      <c r="F110" s="4">
        <v>1</v>
      </c>
    </row>
    <row r="111" spans="1:6" x14ac:dyDescent="0.3">
      <c r="A111" s="2">
        <v>110</v>
      </c>
      <c r="B111" s="4" t="s">
        <v>23</v>
      </c>
      <c r="C111" s="4">
        <v>1</v>
      </c>
      <c r="D111" s="4">
        <v>5</v>
      </c>
      <c r="E111" s="4">
        <v>2</v>
      </c>
      <c r="F111" s="4">
        <v>1</v>
      </c>
    </row>
    <row r="112" spans="1:6" x14ac:dyDescent="0.3">
      <c r="A112" s="2">
        <v>111</v>
      </c>
      <c r="B112" s="4" t="s">
        <v>23</v>
      </c>
      <c r="C112" s="4">
        <v>2</v>
      </c>
      <c r="D112" s="4">
        <v>6</v>
      </c>
      <c r="E112" s="4">
        <v>1</v>
      </c>
      <c r="F112" s="4">
        <v>3</v>
      </c>
    </row>
    <row r="113" spans="1:6" x14ac:dyDescent="0.3">
      <c r="A113" s="2">
        <v>112</v>
      </c>
      <c r="B113" s="4" t="s">
        <v>23</v>
      </c>
      <c r="C113" s="4">
        <v>2</v>
      </c>
      <c r="D113" s="4">
        <v>6</v>
      </c>
      <c r="E113" s="4">
        <v>2</v>
      </c>
      <c r="F113" s="4">
        <v>3</v>
      </c>
    </row>
    <row r="114" spans="1:6" x14ac:dyDescent="0.3">
      <c r="A114" s="2">
        <v>113</v>
      </c>
      <c r="B114" s="4" t="s">
        <v>23</v>
      </c>
      <c r="C114" s="4">
        <v>4</v>
      </c>
      <c r="D114" s="4">
        <v>7</v>
      </c>
      <c r="E114" s="4">
        <v>1</v>
      </c>
      <c r="F114" s="4">
        <v>4</v>
      </c>
    </row>
    <row r="115" spans="1:6" x14ac:dyDescent="0.3">
      <c r="A115" s="2">
        <v>114</v>
      </c>
      <c r="B115" s="4" t="s">
        <v>23</v>
      </c>
      <c r="C115" s="4">
        <v>4</v>
      </c>
      <c r="D115" s="4">
        <v>7</v>
      </c>
      <c r="E115" s="4">
        <v>2</v>
      </c>
      <c r="F115" s="4">
        <v>4</v>
      </c>
    </row>
    <row r="116" spans="1:6" x14ac:dyDescent="0.3">
      <c r="A116" s="2">
        <v>115</v>
      </c>
      <c r="B116" s="4" t="s">
        <v>23</v>
      </c>
      <c r="C116" s="4">
        <v>5</v>
      </c>
      <c r="D116" s="4">
        <v>8</v>
      </c>
      <c r="E116" s="4">
        <v>1</v>
      </c>
      <c r="F116" s="4">
        <v>5</v>
      </c>
    </row>
    <row r="117" spans="1:6" x14ac:dyDescent="0.3">
      <c r="A117" s="2">
        <v>116</v>
      </c>
      <c r="B117" s="4" t="s">
        <v>23</v>
      </c>
      <c r="C117" s="4">
        <v>5</v>
      </c>
      <c r="D117" s="4">
        <v>8</v>
      </c>
      <c r="E117" s="4">
        <v>2</v>
      </c>
      <c r="F117" s="4">
        <v>5</v>
      </c>
    </row>
    <row r="118" spans="1:6" x14ac:dyDescent="0.3">
      <c r="A118" s="2">
        <v>117</v>
      </c>
      <c r="B118" s="4" t="s">
        <v>23</v>
      </c>
      <c r="C118" s="4">
        <v>2</v>
      </c>
      <c r="D118" s="4">
        <v>9</v>
      </c>
      <c r="E118" s="4">
        <v>1</v>
      </c>
      <c r="F118" s="4">
        <v>2</v>
      </c>
    </row>
    <row r="119" spans="1:6" x14ac:dyDescent="0.3">
      <c r="A119" s="2">
        <v>118</v>
      </c>
      <c r="B119" s="4" t="s">
        <v>23</v>
      </c>
      <c r="C119" s="4">
        <v>2</v>
      </c>
      <c r="D119" s="4">
        <v>9</v>
      </c>
      <c r="E119" s="4">
        <v>2</v>
      </c>
      <c r="F119" s="4">
        <v>2</v>
      </c>
    </row>
    <row r="120" spans="1:6" x14ac:dyDescent="0.3">
      <c r="A120" s="2">
        <v>119</v>
      </c>
      <c r="B120" s="4" t="s">
        <v>23</v>
      </c>
      <c r="C120" s="4">
        <v>1</v>
      </c>
      <c r="D120" s="4">
        <v>10</v>
      </c>
      <c r="E120" s="4">
        <v>1</v>
      </c>
      <c r="F120" s="4">
        <v>1</v>
      </c>
    </row>
    <row r="121" spans="1:6" x14ac:dyDescent="0.3">
      <c r="A121" s="2">
        <v>120</v>
      </c>
      <c r="B121" s="4" t="s">
        <v>23</v>
      </c>
      <c r="C121" s="4">
        <v>1</v>
      </c>
      <c r="D121" s="4">
        <v>10</v>
      </c>
      <c r="E121" s="4">
        <v>2</v>
      </c>
      <c r="F121" s="4">
        <v>1</v>
      </c>
    </row>
    <row r="122" spans="1:6" x14ac:dyDescent="0.3">
      <c r="A122" s="2">
        <v>121</v>
      </c>
      <c r="B122" s="4" t="s">
        <v>23</v>
      </c>
      <c r="C122" s="4">
        <v>5</v>
      </c>
      <c r="D122" s="4">
        <v>11</v>
      </c>
      <c r="E122" s="4">
        <v>1</v>
      </c>
      <c r="F122" s="4">
        <v>5</v>
      </c>
    </row>
    <row r="123" spans="1:6" x14ac:dyDescent="0.3">
      <c r="A123" s="2">
        <v>122</v>
      </c>
      <c r="B123" s="4" t="s">
        <v>23</v>
      </c>
      <c r="C123" s="4">
        <v>5</v>
      </c>
      <c r="D123" s="4">
        <v>11</v>
      </c>
      <c r="E123" s="4">
        <v>2</v>
      </c>
      <c r="F123" s="4">
        <v>5</v>
      </c>
    </row>
    <row r="124" spans="1:6" x14ac:dyDescent="0.3">
      <c r="A124" s="2">
        <v>123</v>
      </c>
      <c r="B124" s="4" t="s">
        <v>23</v>
      </c>
      <c r="C124" s="4">
        <v>4</v>
      </c>
      <c r="D124" s="4">
        <v>12</v>
      </c>
      <c r="E124" s="4">
        <v>1</v>
      </c>
      <c r="F124" s="4">
        <v>4</v>
      </c>
    </row>
    <row r="125" spans="1:6" x14ac:dyDescent="0.3">
      <c r="A125" s="2">
        <v>124</v>
      </c>
      <c r="B125" s="4" t="s">
        <v>23</v>
      </c>
      <c r="C125" s="4">
        <v>4</v>
      </c>
      <c r="D125" s="4">
        <v>12</v>
      </c>
      <c r="E125" s="4">
        <v>2</v>
      </c>
      <c r="F125" s="4">
        <v>4</v>
      </c>
    </row>
    <row r="126" spans="1:6" x14ac:dyDescent="0.3">
      <c r="A126" s="2">
        <v>125</v>
      </c>
      <c r="B126" s="4" t="s">
        <v>23</v>
      </c>
      <c r="C126" s="4">
        <v>1</v>
      </c>
      <c r="D126" s="4">
        <v>13</v>
      </c>
      <c r="E126" s="4">
        <v>1</v>
      </c>
      <c r="F126" s="4">
        <v>1</v>
      </c>
    </row>
    <row r="127" spans="1:6" x14ac:dyDescent="0.3">
      <c r="A127" s="2">
        <v>126</v>
      </c>
      <c r="B127" s="4" t="s">
        <v>23</v>
      </c>
      <c r="C127" s="4">
        <v>1</v>
      </c>
      <c r="D127" s="4">
        <v>13</v>
      </c>
      <c r="E127" s="4">
        <v>2</v>
      </c>
      <c r="F127" s="4">
        <v>1</v>
      </c>
    </row>
    <row r="128" spans="1:6" x14ac:dyDescent="0.3">
      <c r="A128" s="2">
        <v>127</v>
      </c>
      <c r="B128" s="4" t="s">
        <v>23</v>
      </c>
      <c r="C128" s="4">
        <v>3</v>
      </c>
      <c r="D128" s="4">
        <v>14</v>
      </c>
      <c r="E128" s="4">
        <v>1</v>
      </c>
      <c r="F128" s="4">
        <v>3</v>
      </c>
    </row>
    <row r="129" spans="1:6" x14ac:dyDescent="0.3">
      <c r="A129" s="2">
        <v>128</v>
      </c>
      <c r="B129" s="4" t="s">
        <v>23</v>
      </c>
      <c r="C129" s="4">
        <v>3</v>
      </c>
      <c r="D129" s="4">
        <v>14</v>
      </c>
      <c r="E129" s="4">
        <v>2</v>
      </c>
      <c r="F129" s="4">
        <v>3</v>
      </c>
    </row>
    <row r="130" spans="1:6" x14ac:dyDescent="0.3">
      <c r="A130" s="2">
        <v>129</v>
      </c>
      <c r="B130" s="4" t="s">
        <v>23</v>
      </c>
      <c r="C130" s="4">
        <v>2</v>
      </c>
      <c r="D130" s="4">
        <v>15</v>
      </c>
      <c r="E130" s="4">
        <v>1</v>
      </c>
      <c r="F130" s="4">
        <v>2</v>
      </c>
    </row>
    <row r="131" spans="1:6" x14ac:dyDescent="0.3">
      <c r="A131" s="2">
        <v>130</v>
      </c>
      <c r="B131" s="4" t="s">
        <v>23</v>
      </c>
      <c r="C131" s="4">
        <v>2</v>
      </c>
      <c r="D131" s="4">
        <v>15</v>
      </c>
      <c r="E131" s="4">
        <v>2</v>
      </c>
      <c r="F131" s="4">
        <v>2</v>
      </c>
    </row>
    <row r="132" spans="1:6" x14ac:dyDescent="0.3">
      <c r="A132" s="2">
        <v>131</v>
      </c>
      <c r="B132" s="4" t="s">
        <v>23</v>
      </c>
      <c r="C132" s="4">
        <v>4</v>
      </c>
      <c r="D132" s="4">
        <v>16</v>
      </c>
      <c r="E132" s="4">
        <v>1</v>
      </c>
      <c r="F132" s="4">
        <v>4</v>
      </c>
    </row>
    <row r="133" spans="1:6" x14ac:dyDescent="0.3">
      <c r="A133" s="2">
        <v>132</v>
      </c>
      <c r="B133" s="4" t="s">
        <v>23</v>
      </c>
      <c r="C133" s="4">
        <v>4</v>
      </c>
      <c r="D133" s="4">
        <v>16</v>
      </c>
      <c r="E133" s="4">
        <v>2</v>
      </c>
      <c r="F133" s="4">
        <v>4</v>
      </c>
    </row>
    <row r="134" spans="1:6" x14ac:dyDescent="0.3">
      <c r="A134" s="2">
        <v>133</v>
      </c>
      <c r="B134" s="4" t="s">
        <v>23</v>
      </c>
      <c r="C134" s="4">
        <v>1</v>
      </c>
      <c r="D134" s="4">
        <v>17</v>
      </c>
      <c r="E134" s="4">
        <v>1</v>
      </c>
      <c r="F134" s="4">
        <v>1</v>
      </c>
    </row>
    <row r="135" spans="1:6" x14ac:dyDescent="0.3">
      <c r="A135" s="2">
        <v>134</v>
      </c>
      <c r="B135" s="4" t="s">
        <v>23</v>
      </c>
      <c r="C135" s="4">
        <v>1</v>
      </c>
      <c r="D135" s="4">
        <v>17</v>
      </c>
      <c r="E135" s="4">
        <v>2</v>
      </c>
      <c r="F135" s="4">
        <v>1</v>
      </c>
    </row>
    <row r="136" spans="1:6" x14ac:dyDescent="0.3">
      <c r="A136" s="2">
        <v>135</v>
      </c>
      <c r="B136" s="4" t="s">
        <v>23</v>
      </c>
      <c r="C136" s="4">
        <v>2</v>
      </c>
      <c r="D136" s="4">
        <v>18</v>
      </c>
      <c r="E136" s="4">
        <v>1</v>
      </c>
      <c r="F136" s="4">
        <v>2</v>
      </c>
    </row>
    <row r="137" spans="1:6" x14ac:dyDescent="0.3">
      <c r="A137" s="2">
        <v>136</v>
      </c>
      <c r="B137" s="4" t="s">
        <v>23</v>
      </c>
      <c r="C137" s="4">
        <v>2</v>
      </c>
      <c r="D137" s="4">
        <v>18</v>
      </c>
      <c r="E137" s="4">
        <v>2</v>
      </c>
      <c r="F137" s="4">
        <v>2</v>
      </c>
    </row>
    <row r="138" spans="1:6" x14ac:dyDescent="0.3">
      <c r="A138" s="2">
        <v>137</v>
      </c>
      <c r="B138" s="4" t="s">
        <v>23</v>
      </c>
      <c r="C138" s="4">
        <v>3</v>
      </c>
      <c r="D138" s="4">
        <v>19</v>
      </c>
      <c r="E138" s="4">
        <v>1</v>
      </c>
      <c r="F138" s="4">
        <v>3</v>
      </c>
    </row>
    <row r="139" spans="1:6" x14ac:dyDescent="0.3">
      <c r="A139" s="2">
        <v>138</v>
      </c>
      <c r="B139" s="4" t="s">
        <v>23</v>
      </c>
      <c r="C139" s="4">
        <v>3</v>
      </c>
      <c r="D139" s="4">
        <v>19</v>
      </c>
      <c r="E139" s="4">
        <v>2</v>
      </c>
      <c r="F139" s="4">
        <v>3</v>
      </c>
    </row>
    <row r="140" spans="1:6" x14ac:dyDescent="0.3">
      <c r="A140" s="2">
        <v>139</v>
      </c>
      <c r="B140" s="4" t="s">
        <v>23</v>
      </c>
      <c r="C140" s="4">
        <v>5</v>
      </c>
      <c r="D140" s="4">
        <v>20</v>
      </c>
      <c r="E140" s="4">
        <v>1</v>
      </c>
      <c r="F140" s="4">
        <v>5</v>
      </c>
    </row>
    <row r="141" spans="1:6" x14ac:dyDescent="0.3">
      <c r="A141" s="2">
        <v>140</v>
      </c>
      <c r="B141" s="4" t="s">
        <v>23</v>
      </c>
      <c r="C141" s="4">
        <v>5</v>
      </c>
      <c r="D141" s="4">
        <v>20</v>
      </c>
      <c r="E141" s="4">
        <v>2</v>
      </c>
      <c r="F141" s="4">
        <v>5</v>
      </c>
    </row>
    <row r="142" spans="1:6" x14ac:dyDescent="0.3">
      <c r="A142" s="2">
        <v>141</v>
      </c>
      <c r="B142" s="4" t="s">
        <v>23</v>
      </c>
      <c r="C142" s="4">
        <v>5</v>
      </c>
      <c r="D142" s="4">
        <v>21</v>
      </c>
      <c r="E142" s="4">
        <v>1</v>
      </c>
      <c r="F142" s="4">
        <v>5</v>
      </c>
    </row>
    <row r="143" spans="1:6" x14ac:dyDescent="0.3">
      <c r="A143" s="2">
        <v>142</v>
      </c>
      <c r="B143" s="4" t="s">
        <v>23</v>
      </c>
      <c r="C143" s="4">
        <v>5</v>
      </c>
      <c r="D143" s="4">
        <v>21</v>
      </c>
      <c r="E143" s="4">
        <v>2</v>
      </c>
      <c r="F143" s="4">
        <v>5</v>
      </c>
    </row>
    <row r="144" spans="1:6" x14ac:dyDescent="0.3">
      <c r="A144" s="2">
        <v>143</v>
      </c>
      <c r="B144" s="4" t="s">
        <v>23</v>
      </c>
      <c r="C144" s="4">
        <v>4</v>
      </c>
      <c r="D144" s="4">
        <v>22</v>
      </c>
      <c r="E144" s="4">
        <v>1</v>
      </c>
      <c r="F144" s="4">
        <v>4</v>
      </c>
    </row>
    <row r="145" spans="1:6" x14ac:dyDescent="0.3">
      <c r="A145" s="2">
        <v>144</v>
      </c>
      <c r="B145" s="4" t="s">
        <v>23</v>
      </c>
      <c r="C145" s="4">
        <v>4</v>
      </c>
      <c r="D145" s="4">
        <v>22</v>
      </c>
      <c r="E145" s="4">
        <v>2</v>
      </c>
      <c r="F145" s="4">
        <v>4</v>
      </c>
    </row>
    <row r="146" spans="1:6" x14ac:dyDescent="0.3">
      <c r="A146" s="2">
        <v>145</v>
      </c>
      <c r="B146" s="4" t="s">
        <v>23</v>
      </c>
      <c r="C146" s="4">
        <v>3</v>
      </c>
      <c r="D146" s="4">
        <v>23</v>
      </c>
      <c r="E146" s="4">
        <v>1</v>
      </c>
      <c r="F146" s="4">
        <v>3</v>
      </c>
    </row>
    <row r="147" spans="1:6" x14ac:dyDescent="0.3">
      <c r="A147" s="2">
        <v>146</v>
      </c>
      <c r="B147" s="4" t="s">
        <v>23</v>
      </c>
      <c r="C147" s="4">
        <v>3</v>
      </c>
      <c r="D147" s="4">
        <v>23</v>
      </c>
      <c r="E147" s="4">
        <v>2</v>
      </c>
      <c r="F147" s="4">
        <v>3</v>
      </c>
    </row>
    <row r="148" spans="1:6" x14ac:dyDescent="0.3">
      <c r="A148" s="2">
        <v>147</v>
      </c>
      <c r="B148" s="4" t="s">
        <v>23</v>
      </c>
      <c r="C148" s="4">
        <v>2</v>
      </c>
      <c r="D148" s="4">
        <v>24</v>
      </c>
      <c r="E148" s="4">
        <v>1</v>
      </c>
      <c r="F148" s="4">
        <v>2</v>
      </c>
    </row>
    <row r="149" spans="1:6" x14ac:dyDescent="0.3">
      <c r="A149" s="2">
        <v>148</v>
      </c>
      <c r="B149" s="4" t="s">
        <v>23</v>
      </c>
      <c r="C149" s="4">
        <v>2</v>
      </c>
      <c r="D149" s="4">
        <v>24</v>
      </c>
      <c r="E149" s="4">
        <v>2</v>
      </c>
      <c r="F149" s="4">
        <v>2</v>
      </c>
    </row>
    <row r="150" spans="1:6" x14ac:dyDescent="0.3">
      <c r="A150" s="2">
        <v>149</v>
      </c>
      <c r="B150" s="4" t="s">
        <v>23</v>
      </c>
      <c r="C150" s="4">
        <v>2</v>
      </c>
      <c r="D150" s="4">
        <v>25</v>
      </c>
      <c r="E150" s="4">
        <v>1</v>
      </c>
      <c r="F150" s="4">
        <v>2</v>
      </c>
    </row>
    <row r="151" spans="1:6" x14ac:dyDescent="0.3">
      <c r="A151" s="2">
        <v>150</v>
      </c>
      <c r="B151" s="4" t="s">
        <v>23</v>
      </c>
      <c r="C151" s="4">
        <v>2</v>
      </c>
      <c r="D151" s="4">
        <v>25</v>
      </c>
      <c r="E151" s="4">
        <v>2</v>
      </c>
      <c r="F151" s="4">
        <v>2</v>
      </c>
    </row>
    <row r="152" spans="1:6" x14ac:dyDescent="0.3">
      <c r="A152" s="2">
        <v>151</v>
      </c>
      <c r="B152" s="4" t="s">
        <v>23</v>
      </c>
      <c r="C152" s="4">
        <v>4</v>
      </c>
      <c r="D152" s="4">
        <v>26</v>
      </c>
      <c r="E152" s="4">
        <v>1</v>
      </c>
      <c r="F152" s="4">
        <v>4</v>
      </c>
    </row>
    <row r="153" spans="1:6" x14ac:dyDescent="0.3">
      <c r="A153" s="2">
        <v>152</v>
      </c>
      <c r="B153" s="4" t="s">
        <v>23</v>
      </c>
      <c r="C153" s="4">
        <v>4</v>
      </c>
      <c r="D153" s="4">
        <v>26</v>
      </c>
      <c r="E153" s="4">
        <v>2</v>
      </c>
      <c r="F153" s="4">
        <v>4</v>
      </c>
    </row>
    <row r="154" spans="1:6" x14ac:dyDescent="0.3">
      <c r="A154" s="2">
        <v>153</v>
      </c>
      <c r="B154" s="4" t="s">
        <v>23</v>
      </c>
      <c r="C154" s="4">
        <v>1</v>
      </c>
      <c r="D154" s="4">
        <v>27</v>
      </c>
      <c r="E154" s="4">
        <v>1</v>
      </c>
      <c r="F154" s="4">
        <v>1</v>
      </c>
    </row>
    <row r="155" spans="1:6" x14ac:dyDescent="0.3">
      <c r="A155" s="2">
        <v>154</v>
      </c>
      <c r="B155" s="4" t="s">
        <v>23</v>
      </c>
      <c r="C155" s="4">
        <v>1</v>
      </c>
      <c r="D155" s="4">
        <v>27</v>
      </c>
      <c r="E155" s="4">
        <v>2</v>
      </c>
      <c r="F155" s="4">
        <v>1</v>
      </c>
    </row>
    <row r="156" spans="1:6" x14ac:dyDescent="0.3">
      <c r="A156" s="2">
        <v>155</v>
      </c>
      <c r="B156" s="4" t="s">
        <v>23</v>
      </c>
      <c r="C156" s="4">
        <v>2</v>
      </c>
      <c r="D156" s="4">
        <v>28</v>
      </c>
      <c r="E156" s="4">
        <v>1</v>
      </c>
      <c r="F156" s="4">
        <v>2</v>
      </c>
    </row>
    <row r="157" spans="1:6" x14ac:dyDescent="0.3">
      <c r="A157" s="2">
        <v>156</v>
      </c>
      <c r="B157" s="4" t="s">
        <v>23</v>
      </c>
      <c r="C157" s="4">
        <v>2</v>
      </c>
      <c r="D157" s="4">
        <v>28</v>
      </c>
      <c r="E157" s="4">
        <v>2</v>
      </c>
      <c r="F157" s="4">
        <v>2</v>
      </c>
    </row>
    <row r="158" spans="1:6" x14ac:dyDescent="0.3">
      <c r="A158" s="2">
        <v>157</v>
      </c>
      <c r="B158" s="4" t="s">
        <v>23</v>
      </c>
      <c r="C158" s="4">
        <v>5</v>
      </c>
      <c r="D158" s="4">
        <v>29</v>
      </c>
      <c r="E158" s="4">
        <v>1</v>
      </c>
      <c r="F158" s="4">
        <v>5</v>
      </c>
    </row>
    <row r="159" spans="1:6" x14ac:dyDescent="0.3">
      <c r="A159" s="2">
        <v>158</v>
      </c>
      <c r="B159" s="4" t="s">
        <v>23</v>
      </c>
      <c r="C159" s="4">
        <v>5</v>
      </c>
      <c r="D159" s="4">
        <v>29</v>
      </c>
      <c r="E159" s="4">
        <v>2</v>
      </c>
      <c r="F159" s="4">
        <v>5</v>
      </c>
    </row>
    <row r="160" spans="1:6" x14ac:dyDescent="0.3">
      <c r="A160" s="2">
        <v>159</v>
      </c>
      <c r="B160" s="4" t="s">
        <v>23</v>
      </c>
      <c r="C160" s="4">
        <v>3</v>
      </c>
      <c r="D160" s="4">
        <v>30</v>
      </c>
      <c r="E160" s="4">
        <v>1</v>
      </c>
      <c r="F160" s="4">
        <v>3</v>
      </c>
    </row>
    <row r="161" spans="1:6" x14ac:dyDescent="0.3">
      <c r="A161" s="2">
        <v>160</v>
      </c>
      <c r="B161" s="4" t="s">
        <v>23</v>
      </c>
      <c r="C161" s="4">
        <v>3</v>
      </c>
      <c r="D161" s="4">
        <v>30</v>
      </c>
      <c r="E161" s="4">
        <v>2</v>
      </c>
      <c r="F161" s="4">
        <v>3</v>
      </c>
    </row>
    <row r="162" spans="1:6" x14ac:dyDescent="0.3">
      <c r="A162" s="2">
        <v>161</v>
      </c>
      <c r="B162" s="4" t="s">
        <v>23</v>
      </c>
      <c r="C162" s="4">
        <v>5</v>
      </c>
      <c r="D162" s="4">
        <v>31</v>
      </c>
      <c r="E162" s="4">
        <v>1</v>
      </c>
      <c r="F162" s="4">
        <v>5</v>
      </c>
    </row>
    <row r="163" spans="1:6" x14ac:dyDescent="0.3">
      <c r="A163" s="2">
        <v>162</v>
      </c>
      <c r="B163" s="4" t="s">
        <v>23</v>
      </c>
      <c r="C163" s="4">
        <v>5</v>
      </c>
      <c r="D163" s="4">
        <v>31</v>
      </c>
      <c r="E163" s="4">
        <v>2</v>
      </c>
      <c r="F163" s="4">
        <v>5</v>
      </c>
    </row>
    <row r="164" spans="1:6" x14ac:dyDescent="0.3">
      <c r="A164" s="2">
        <v>163</v>
      </c>
      <c r="B164" s="4" t="s">
        <v>23</v>
      </c>
      <c r="C164" s="4">
        <v>3</v>
      </c>
      <c r="D164" s="4">
        <v>32</v>
      </c>
      <c r="E164" s="4">
        <v>1</v>
      </c>
      <c r="F164" s="4">
        <v>2</v>
      </c>
    </row>
    <row r="165" spans="1:6" x14ac:dyDescent="0.3">
      <c r="A165" s="2">
        <v>164</v>
      </c>
      <c r="B165" s="4" t="s">
        <v>23</v>
      </c>
      <c r="C165" s="4">
        <v>3</v>
      </c>
      <c r="D165" s="4">
        <v>32</v>
      </c>
      <c r="E165" s="4">
        <v>2</v>
      </c>
      <c r="F165" s="4">
        <v>2</v>
      </c>
    </row>
    <row r="166" spans="1:6" x14ac:dyDescent="0.3">
      <c r="A166" s="2">
        <v>165</v>
      </c>
      <c r="B166" s="4" t="s">
        <v>23</v>
      </c>
      <c r="C166" s="4">
        <v>1</v>
      </c>
      <c r="D166" s="4">
        <v>33</v>
      </c>
      <c r="E166" s="4">
        <v>1</v>
      </c>
      <c r="F166" s="4">
        <v>1</v>
      </c>
    </row>
    <row r="167" spans="1:6" x14ac:dyDescent="0.3">
      <c r="A167" s="2">
        <v>166</v>
      </c>
      <c r="B167" s="4" t="s">
        <v>23</v>
      </c>
      <c r="C167" s="4">
        <v>1</v>
      </c>
      <c r="D167" s="4">
        <v>33</v>
      </c>
      <c r="E167" s="4">
        <v>2</v>
      </c>
      <c r="F167" s="4">
        <v>1</v>
      </c>
    </row>
    <row r="168" spans="1:6" x14ac:dyDescent="0.3">
      <c r="A168" s="2">
        <v>167</v>
      </c>
      <c r="B168" s="4" t="s">
        <v>23</v>
      </c>
      <c r="C168" s="4">
        <v>3</v>
      </c>
      <c r="D168" s="4">
        <v>34</v>
      </c>
      <c r="E168" s="4">
        <v>1</v>
      </c>
      <c r="F168" s="4">
        <v>3</v>
      </c>
    </row>
    <row r="169" spans="1:6" x14ac:dyDescent="0.3">
      <c r="A169" s="2">
        <v>168</v>
      </c>
      <c r="B169" s="4" t="s">
        <v>23</v>
      </c>
      <c r="C169" s="4">
        <v>3</v>
      </c>
      <c r="D169" s="4">
        <v>34</v>
      </c>
      <c r="E169" s="4">
        <v>2</v>
      </c>
      <c r="F169" s="4">
        <v>3</v>
      </c>
    </row>
    <row r="170" spans="1:6" x14ac:dyDescent="0.3">
      <c r="A170" s="2">
        <v>169</v>
      </c>
      <c r="B170" s="4" t="s">
        <v>23</v>
      </c>
      <c r="C170" s="4">
        <v>1</v>
      </c>
      <c r="D170" s="4">
        <v>35</v>
      </c>
      <c r="E170" s="4">
        <v>1</v>
      </c>
      <c r="F170" s="4">
        <v>1</v>
      </c>
    </row>
    <row r="171" spans="1:6" x14ac:dyDescent="0.3">
      <c r="A171" s="2">
        <v>170</v>
      </c>
      <c r="B171" s="4" t="s">
        <v>23</v>
      </c>
      <c r="C171" s="4">
        <v>1</v>
      </c>
      <c r="D171" s="4">
        <v>35</v>
      </c>
      <c r="E171" s="4">
        <v>2</v>
      </c>
      <c r="F171" s="4">
        <v>1</v>
      </c>
    </row>
    <row r="172" spans="1:6" x14ac:dyDescent="0.3">
      <c r="A172" s="2">
        <v>171</v>
      </c>
      <c r="B172" s="4" t="s">
        <v>23</v>
      </c>
      <c r="C172" s="4">
        <v>3</v>
      </c>
      <c r="D172" s="4">
        <v>36</v>
      </c>
      <c r="E172" s="4">
        <v>1</v>
      </c>
      <c r="F172" s="4">
        <v>2</v>
      </c>
    </row>
    <row r="173" spans="1:6" x14ac:dyDescent="0.3">
      <c r="A173" s="2">
        <v>172</v>
      </c>
      <c r="B173" s="4" t="s">
        <v>23</v>
      </c>
      <c r="C173" s="4">
        <v>3</v>
      </c>
      <c r="D173" s="4">
        <v>36</v>
      </c>
      <c r="E173" s="4">
        <v>2</v>
      </c>
      <c r="F173" s="4">
        <v>2</v>
      </c>
    </row>
    <row r="174" spans="1:6" x14ac:dyDescent="0.3">
      <c r="A174" s="2">
        <v>173</v>
      </c>
      <c r="B174" s="4" t="s">
        <v>23</v>
      </c>
      <c r="C174" s="4">
        <v>5</v>
      </c>
      <c r="D174" s="4">
        <v>37</v>
      </c>
      <c r="E174" s="4">
        <v>1</v>
      </c>
      <c r="F174" s="4">
        <v>5</v>
      </c>
    </row>
    <row r="175" spans="1:6" x14ac:dyDescent="0.3">
      <c r="A175" s="2">
        <v>174</v>
      </c>
      <c r="B175" s="4" t="s">
        <v>23</v>
      </c>
      <c r="C175" s="4">
        <v>5</v>
      </c>
      <c r="D175" s="4">
        <v>37</v>
      </c>
      <c r="E175" s="4">
        <v>2</v>
      </c>
      <c r="F175" s="4">
        <v>5</v>
      </c>
    </row>
    <row r="176" spans="1:6" x14ac:dyDescent="0.3">
      <c r="A176" s="2">
        <v>175</v>
      </c>
      <c r="B176" s="4" t="s">
        <v>23</v>
      </c>
      <c r="C176" s="4">
        <v>4</v>
      </c>
      <c r="D176" s="4">
        <v>38</v>
      </c>
      <c r="E176" s="4">
        <v>1</v>
      </c>
      <c r="F176" s="4">
        <v>4</v>
      </c>
    </row>
    <row r="177" spans="1:6" x14ac:dyDescent="0.3">
      <c r="A177" s="2">
        <v>176</v>
      </c>
      <c r="B177" s="4" t="s">
        <v>23</v>
      </c>
      <c r="C177" s="4">
        <v>4</v>
      </c>
      <c r="D177" s="4">
        <v>38</v>
      </c>
      <c r="E177" s="4">
        <v>2</v>
      </c>
      <c r="F177" s="4">
        <v>4</v>
      </c>
    </row>
    <row r="178" spans="1:6" x14ac:dyDescent="0.3">
      <c r="A178" s="2">
        <v>177</v>
      </c>
      <c r="B178" s="4" t="s">
        <v>23</v>
      </c>
      <c r="C178" s="4">
        <v>2</v>
      </c>
      <c r="D178" s="4">
        <v>39</v>
      </c>
      <c r="E178" s="4">
        <v>1</v>
      </c>
      <c r="F178" s="4">
        <v>2</v>
      </c>
    </row>
    <row r="179" spans="1:6" x14ac:dyDescent="0.3">
      <c r="A179" s="2">
        <v>178</v>
      </c>
      <c r="B179" s="4" t="s">
        <v>23</v>
      </c>
      <c r="C179" s="4">
        <v>2</v>
      </c>
      <c r="D179" s="4">
        <v>39</v>
      </c>
      <c r="E179" s="4">
        <v>2</v>
      </c>
      <c r="F179" s="4">
        <v>2</v>
      </c>
    </row>
    <row r="180" spans="1:6" x14ac:dyDescent="0.3">
      <c r="A180" s="2">
        <v>179</v>
      </c>
      <c r="B180" s="4" t="s">
        <v>23</v>
      </c>
      <c r="C180" s="4">
        <v>3</v>
      </c>
      <c r="D180" s="4">
        <v>40</v>
      </c>
      <c r="E180" s="4">
        <v>1</v>
      </c>
      <c r="F180" s="4">
        <v>3</v>
      </c>
    </row>
    <row r="181" spans="1:6" x14ac:dyDescent="0.3">
      <c r="A181" s="2">
        <v>180</v>
      </c>
      <c r="B181" s="4" t="s">
        <v>23</v>
      </c>
      <c r="C181" s="4">
        <v>3</v>
      </c>
      <c r="D181" s="4">
        <v>40</v>
      </c>
      <c r="E181" s="4">
        <v>2</v>
      </c>
      <c r="F181" s="4">
        <v>3</v>
      </c>
    </row>
    <row r="182" spans="1:6" x14ac:dyDescent="0.3">
      <c r="A182" s="2">
        <v>181</v>
      </c>
      <c r="B182" s="4" t="s">
        <v>23</v>
      </c>
      <c r="C182" s="4">
        <v>1</v>
      </c>
      <c r="D182" s="4">
        <v>41</v>
      </c>
      <c r="E182" s="4">
        <v>1</v>
      </c>
      <c r="F182" s="4">
        <v>1</v>
      </c>
    </row>
    <row r="183" spans="1:6" x14ac:dyDescent="0.3">
      <c r="A183" s="2">
        <v>182</v>
      </c>
      <c r="B183" s="4" t="s">
        <v>23</v>
      </c>
      <c r="C183" s="4">
        <v>1</v>
      </c>
      <c r="D183" s="4">
        <v>41</v>
      </c>
      <c r="E183" s="4">
        <v>2</v>
      </c>
      <c r="F183" s="4">
        <v>1</v>
      </c>
    </row>
    <row r="184" spans="1:6" x14ac:dyDescent="0.3">
      <c r="A184" s="2">
        <v>183</v>
      </c>
      <c r="B184" s="4" t="s">
        <v>23</v>
      </c>
      <c r="C184" s="4">
        <v>2</v>
      </c>
      <c r="D184" s="4">
        <v>42</v>
      </c>
      <c r="E184" s="4">
        <v>1</v>
      </c>
      <c r="F184" s="4">
        <v>2</v>
      </c>
    </row>
    <row r="185" spans="1:6" x14ac:dyDescent="0.3">
      <c r="A185" s="2">
        <v>184</v>
      </c>
      <c r="B185" s="4" t="s">
        <v>23</v>
      </c>
      <c r="C185" s="4">
        <v>2</v>
      </c>
      <c r="D185" s="4">
        <v>42</v>
      </c>
      <c r="E185" s="4">
        <v>2</v>
      </c>
      <c r="F185" s="4">
        <v>2</v>
      </c>
    </row>
    <row r="186" spans="1:6" x14ac:dyDescent="0.3">
      <c r="A186" s="2">
        <v>185</v>
      </c>
      <c r="B186" s="4" t="s">
        <v>23</v>
      </c>
      <c r="C186" s="4">
        <v>2</v>
      </c>
      <c r="D186" s="4">
        <v>43</v>
      </c>
      <c r="E186" s="4">
        <v>1</v>
      </c>
      <c r="F186" s="4">
        <v>2</v>
      </c>
    </row>
    <row r="187" spans="1:6" x14ac:dyDescent="0.3">
      <c r="A187" s="2">
        <v>186</v>
      </c>
      <c r="B187" s="4" t="s">
        <v>23</v>
      </c>
      <c r="C187" s="4">
        <v>2</v>
      </c>
      <c r="D187" s="4">
        <v>43</v>
      </c>
      <c r="E187" s="4">
        <v>2</v>
      </c>
      <c r="F187" s="4">
        <v>2</v>
      </c>
    </row>
    <row r="188" spans="1:6" x14ac:dyDescent="0.3">
      <c r="A188" s="2">
        <v>187</v>
      </c>
      <c r="B188" s="4" t="s">
        <v>23</v>
      </c>
      <c r="C188" s="4">
        <v>3</v>
      </c>
      <c r="D188" s="4">
        <v>44</v>
      </c>
      <c r="E188" s="4">
        <v>1</v>
      </c>
      <c r="F188" s="4">
        <v>3</v>
      </c>
    </row>
    <row r="189" spans="1:6" x14ac:dyDescent="0.3">
      <c r="A189" s="2">
        <v>188</v>
      </c>
      <c r="B189" s="4" t="s">
        <v>23</v>
      </c>
      <c r="C189" s="4">
        <v>3</v>
      </c>
      <c r="D189" s="4">
        <v>44</v>
      </c>
      <c r="E189" s="4">
        <v>2</v>
      </c>
      <c r="F189" s="4">
        <v>3</v>
      </c>
    </row>
    <row r="190" spans="1:6" x14ac:dyDescent="0.3">
      <c r="A190" s="2">
        <v>189</v>
      </c>
      <c r="B190" s="4" t="s">
        <v>23</v>
      </c>
      <c r="C190" s="4">
        <v>3</v>
      </c>
      <c r="D190" s="4">
        <v>45</v>
      </c>
      <c r="E190" s="4">
        <v>1</v>
      </c>
      <c r="F190" s="4">
        <v>3</v>
      </c>
    </row>
    <row r="191" spans="1:6" x14ac:dyDescent="0.3">
      <c r="A191" s="2">
        <v>190</v>
      </c>
      <c r="B191" s="4" t="s">
        <v>23</v>
      </c>
      <c r="C191" s="4">
        <v>3</v>
      </c>
      <c r="D191" s="4">
        <v>45</v>
      </c>
      <c r="E191" s="4">
        <v>2</v>
      </c>
      <c r="F191" s="4">
        <v>3</v>
      </c>
    </row>
    <row r="192" spans="1:6" x14ac:dyDescent="0.3">
      <c r="A192" s="2">
        <v>191</v>
      </c>
      <c r="B192" s="4" t="s">
        <v>23</v>
      </c>
      <c r="C192" s="4">
        <v>5</v>
      </c>
      <c r="D192" s="4">
        <v>46</v>
      </c>
      <c r="E192" s="4">
        <v>1</v>
      </c>
      <c r="F192" s="4">
        <v>5</v>
      </c>
    </row>
    <row r="193" spans="1:6" x14ac:dyDescent="0.3">
      <c r="A193" s="2">
        <v>192</v>
      </c>
      <c r="B193" s="4" t="s">
        <v>23</v>
      </c>
      <c r="C193" s="4">
        <v>5</v>
      </c>
      <c r="D193" s="4">
        <v>46</v>
      </c>
      <c r="E193" s="4">
        <v>2</v>
      </c>
      <c r="F193" s="4">
        <v>5</v>
      </c>
    </row>
    <row r="194" spans="1:6" x14ac:dyDescent="0.3">
      <c r="A194" s="2">
        <v>193</v>
      </c>
      <c r="B194" s="4" t="s">
        <v>23</v>
      </c>
      <c r="C194" s="4">
        <v>4</v>
      </c>
      <c r="D194" s="4">
        <v>47</v>
      </c>
      <c r="E194" s="4">
        <v>1</v>
      </c>
      <c r="F194" s="4">
        <v>4</v>
      </c>
    </row>
    <row r="195" spans="1:6" x14ac:dyDescent="0.3">
      <c r="A195" s="2">
        <v>194</v>
      </c>
      <c r="B195" s="4" t="s">
        <v>23</v>
      </c>
      <c r="C195" s="4">
        <v>4</v>
      </c>
      <c r="D195" s="4">
        <v>47</v>
      </c>
      <c r="E195" s="4">
        <v>2</v>
      </c>
      <c r="F195" s="4">
        <v>4</v>
      </c>
    </row>
    <row r="196" spans="1:6" x14ac:dyDescent="0.3">
      <c r="A196" s="2">
        <v>195</v>
      </c>
      <c r="B196" s="4" t="s">
        <v>23</v>
      </c>
      <c r="C196" s="4">
        <v>5</v>
      </c>
      <c r="D196" s="4">
        <v>48</v>
      </c>
      <c r="E196" s="4">
        <v>1</v>
      </c>
      <c r="F196" s="4">
        <v>5</v>
      </c>
    </row>
    <row r="197" spans="1:6" x14ac:dyDescent="0.3">
      <c r="A197" s="2">
        <v>196</v>
      </c>
      <c r="B197" s="4" t="s">
        <v>23</v>
      </c>
      <c r="C197" s="4">
        <v>5</v>
      </c>
      <c r="D197" s="4">
        <v>48</v>
      </c>
      <c r="E197" s="4">
        <v>2</v>
      </c>
      <c r="F197" s="4">
        <v>5</v>
      </c>
    </row>
    <row r="198" spans="1:6" x14ac:dyDescent="0.3">
      <c r="A198" s="2">
        <v>197</v>
      </c>
      <c r="B198" s="4" t="s">
        <v>23</v>
      </c>
      <c r="C198" s="4">
        <v>4</v>
      </c>
      <c r="D198" s="4">
        <v>49</v>
      </c>
      <c r="E198" s="4">
        <v>1</v>
      </c>
      <c r="F198" s="4">
        <v>4</v>
      </c>
    </row>
    <row r="199" spans="1:6" x14ac:dyDescent="0.3">
      <c r="A199" s="2">
        <v>198</v>
      </c>
      <c r="B199" s="4" t="s">
        <v>23</v>
      </c>
      <c r="C199" s="4">
        <v>4</v>
      </c>
      <c r="D199" s="4">
        <v>49</v>
      </c>
      <c r="E199" s="4">
        <v>2</v>
      </c>
      <c r="F199" s="4">
        <v>4</v>
      </c>
    </row>
    <row r="200" spans="1:6" x14ac:dyDescent="0.3">
      <c r="A200" s="2">
        <v>199</v>
      </c>
      <c r="B200" s="4" t="s">
        <v>23</v>
      </c>
      <c r="C200" s="4">
        <v>1</v>
      </c>
      <c r="D200" s="4">
        <v>50</v>
      </c>
      <c r="E200" s="4">
        <v>1</v>
      </c>
      <c r="F200" s="4">
        <v>1</v>
      </c>
    </row>
    <row r="201" spans="1:6" x14ac:dyDescent="0.3">
      <c r="A201" s="2">
        <v>200</v>
      </c>
      <c r="B201" s="4" t="s">
        <v>23</v>
      </c>
      <c r="C201" s="4">
        <v>1</v>
      </c>
      <c r="D201" s="4">
        <v>50</v>
      </c>
      <c r="E201" s="4">
        <v>2</v>
      </c>
      <c r="F201" s="4">
        <v>1</v>
      </c>
    </row>
    <row r="202" spans="1:6" x14ac:dyDescent="0.3">
      <c r="A202" s="2">
        <v>201</v>
      </c>
      <c r="B202" s="4" t="s">
        <v>24</v>
      </c>
      <c r="C202" s="4">
        <v>5</v>
      </c>
      <c r="D202" s="4">
        <v>1</v>
      </c>
      <c r="E202" s="4">
        <v>1</v>
      </c>
      <c r="F202" s="4">
        <v>5</v>
      </c>
    </row>
    <row r="203" spans="1:6" x14ac:dyDescent="0.3">
      <c r="A203" s="2">
        <v>202</v>
      </c>
      <c r="B203" s="4" t="s">
        <v>24</v>
      </c>
      <c r="C203" s="4">
        <v>5</v>
      </c>
      <c r="D203" s="4">
        <v>1</v>
      </c>
      <c r="E203" s="4">
        <v>2</v>
      </c>
      <c r="F203" s="4">
        <v>5</v>
      </c>
    </row>
    <row r="204" spans="1:6" x14ac:dyDescent="0.3">
      <c r="A204" s="2">
        <v>203</v>
      </c>
      <c r="B204" s="4" t="s">
        <v>24</v>
      </c>
      <c r="C204" s="4">
        <v>3</v>
      </c>
      <c r="D204" s="4">
        <v>2</v>
      </c>
      <c r="E204" s="4">
        <v>1</v>
      </c>
      <c r="F204" s="4">
        <v>3</v>
      </c>
    </row>
    <row r="205" spans="1:6" x14ac:dyDescent="0.3">
      <c r="A205" s="2">
        <v>204</v>
      </c>
      <c r="B205" s="4" t="s">
        <v>24</v>
      </c>
      <c r="C205" s="4">
        <v>4</v>
      </c>
      <c r="D205" s="4">
        <v>2</v>
      </c>
      <c r="E205" s="4">
        <v>2</v>
      </c>
      <c r="F205" s="4">
        <v>3</v>
      </c>
    </row>
    <row r="206" spans="1:6" x14ac:dyDescent="0.3">
      <c r="A206" s="2">
        <v>205</v>
      </c>
      <c r="B206" s="4" t="s">
        <v>24</v>
      </c>
      <c r="C206" s="4">
        <v>1</v>
      </c>
      <c r="D206" s="4">
        <v>3</v>
      </c>
      <c r="E206" s="4">
        <v>1</v>
      </c>
      <c r="F206" s="4">
        <v>1</v>
      </c>
    </row>
    <row r="207" spans="1:6" x14ac:dyDescent="0.3">
      <c r="A207" s="2">
        <v>206</v>
      </c>
      <c r="B207" s="4" t="s">
        <v>24</v>
      </c>
      <c r="C207" s="4">
        <v>1</v>
      </c>
      <c r="D207" s="4">
        <v>3</v>
      </c>
      <c r="E207" s="4">
        <v>2</v>
      </c>
      <c r="F207" s="4">
        <v>1</v>
      </c>
    </row>
    <row r="208" spans="1:6" x14ac:dyDescent="0.3">
      <c r="A208" s="2">
        <v>207</v>
      </c>
      <c r="B208" s="4" t="s">
        <v>24</v>
      </c>
      <c r="C208" s="4">
        <v>2</v>
      </c>
      <c r="D208" s="4">
        <v>4</v>
      </c>
      <c r="E208" s="4">
        <v>1</v>
      </c>
      <c r="F208" s="4">
        <v>2</v>
      </c>
    </row>
    <row r="209" spans="1:6" x14ac:dyDescent="0.3">
      <c r="A209" s="2">
        <v>208</v>
      </c>
      <c r="B209" s="4" t="s">
        <v>24</v>
      </c>
      <c r="C209" s="4">
        <v>2</v>
      </c>
      <c r="D209" s="4">
        <v>4</v>
      </c>
      <c r="E209" s="4">
        <v>2</v>
      </c>
      <c r="F209" s="4">
        <v>2</v>
      </c>
    </row>
    <row r="210" spans="1:6" x14ac:dyDescent="0.3">
      <c r="A210" s="2">
        <v>209</v>
      </c>
      <c r="B210" s="4" t="s">
        <v>24</v>
      </c>
      <c r="C210" s="4">
        <v>1</v>
      </c>
      <c r="D210" s="4">
        <v>5</v>
      </c>
      <c r="E210" s="4">
        <v>1</v>
      </c>
      <c r="F210" s="4">
        <v>1</v>
      </c>
    </row>
    <row r="211" spans="1:6" x14ac:dyDescent="0.3">
      <c r="A211" s="2">
        <v>210</v>
      </c>
      <c r="B211" s="4" t="s">
        <v>24</v>
      </c>
      <c r="C211" s="4">
        <v>1</v>
      </c>
      <c r="D211" s="4">
        <v>5</v>
      </c>
      <c r="E211" s="4">
        <v>2</v>
      </c>
      <c r="F211" s="4">
        <v>1</v>
      </c>
    </row>
    <row r="212" spans="1:6" x14ac:dyDescent="0.3">
      <c r="A212" s="2">
        <v>211</v>
      </c>
      <c r="B212" s="4" t="s">
        <v>24</v>
      </c>
      <c r="C212" s="4">
        <v>2</v>
      </c>
      <c r="D212" s="4">
        <v>6</v>
      </c>
      <c r="E212" s="4">
        <v>1</v>
      </c>
      <c r="F212" s="4">
        <v>3</v>
      </c>
    </row>
    <row r="213" spans="1:6" x14ac:dyDescent="0.3">
      <c r="A213" s="2">
        <v>212</v>
      </c>
      <c r="B213" s="4" t="s">
        <v>24</v>
      </c>
      <c r="C213" s="4">
        <v>2</v>
      </c>
      <c r="D213" s="4">
        <v>6</v>
      </c>
      <c r="E213" s="4">
        <v>2</v>
      </c>
      <c r="F213" s="4">
        <v>3</v>
      </c>
    </row>
    <row r="214" spans="1:6" x14ac:dyDescent="0.3">
      <c r="A214" s="2">
        <v>213</v>
      </c>
      <c r="B214" s="4" t="s">
        <v>24</v>
      </c>
      <c r="C214" s="4">
        <v>4</v>
      </c>
      <c r="D214" s="4">
        <v>7</v>
      </c>
      <c r="E214" s="4">
        <v>1</v>
      </c>
      <c r="F214" s="4">
        <v>4</v>
      </c>
    </row>
    <row r="215" spans="1:6" x14ac:dyDescent="0.3">
      <c r="A215" s="2">
        <v>214</v>
      </c>
      <c r="B215" s="4" t="s">
        <v>24</v>
      </c>
      <c r="C215" s="4">
        <v>4</v>
      </c>
      <c r="D215" s="4">
        <v>7</v>
      </c>
      <c r="E215" s="4">
        <v>2</v>
      </c>
      <c r="F215" s="4">
        <v>4</v>
      </c>
    </row>
    <row r="216" spans="1:6" x14ac:dyDescent="0.3">
      <c r="A216" s="2">
        <v>215</v>
      </c>
      <c r="B216" s="4" t="s">
        <v>24</v>
      </c>
      <c r="C216" s="4">
        <v>5</v>
      </c>
      <c r="D216" s="4">
        <v>8</v>
      </c>
      <c r="E216" s="4">
        <v>1</v>
      </c>
      <c r="F216" s="4">
        <v>5</v>
      </c>
    </row>
    <row r="217" spans="1:6" x14ac:dyDescent="0.3">
      <c r="A217" s="2">
        <v>216</v>
      </c>
      <c r="B217" s="4" t="s">
        <v>24</v>
      </c>
      <c r="C217" s="4">
        <v>5</v>
      </c>
      <c r="D217" s="4">
        <v>8</v>
      </c>
      <c r="E217" s="4">
        <v>2</v>
      </c>
      <c r="F217" s="4">
        <v>5</v>
      </c>
    </row>
    <row r="218" spans="1:6" x14ac:dyDescent="0.3">
      <c r="A218" s="2">
        <v>217</v>
      </c>
      <c r="B218" s="4" t="s">
        <v>24</v>
      </c>
      <c r="C218" s="4">
        <v>2</v>
      </c>
      <c r="D218" s="4">
        <v>9</v>
      </c>
      <c r="E218" s="4">
        <v>1</v>
      </c>
      <c r="F218" s="4">
        <v>2</v>
      </c>
    </row>
    <row r="219" spans="1:6" x14ac:dyDescent="0.3">
      <c r="A219" s="2">
        <v>218</v>
      </c>
      <c r="B219" s="4" t="s">
        <v>24</v>
      </c>
      <c r="C219" s="4">
        <v>2</v>
      </c>
      <c r="D219" s="4">
        <v>9</v>
      </c>
      <c r="E219" s="4">
        <v>2</v>
      </c>
      <c r="F219" s="4">
        <v>2</v>
      </c>
    </row>
    <row r="220" spans="1:6" x14ac:dyDescent="0.3">
      <c r="A220" s="2">
        <v>219</v>
      </c>
      <c r="B220" s="4" t="s">
        <v>24</v>
      </c>
      <c r="C220" s="4">
        <v>1</v>
      </c>
      <c r="D220" s="4">
        <v>10</v>
      </c>
      <c r="E220" s="4">
        <v>1</v>
      </c>
      <c r="F220" s="4">
        <v>1</v>
      </c>
    </row>
    <row r="221" spans="1:6" x14ac:dyDescent="0.3">
      <c r="A221" s="2">
        <v>220</v>
      </c>
      <c r="B221" s="4" t="s">
        <v>24</v>
      </c>
      <c r="C221" s="4">
        <v>1</v>
      </c>
      <c r="D221" s="4">
        <v>10</v>
      </c>
      <c r="E221" s="4">
        <v>2</v>
      </c>
      <c r="F221" s="4">
        <v>1</v>
      </c>
    </row>
    <row r="222" spans="1:6" x14ac:dyDescent="0.3">
      <c r="A222" s="2">
        <v>221</v>
      </c>
      <c r="B222" s="4" t="s">
        <v>24</v>
      </c>
      <c r="C222" s="4">
        <v>5</v>
      </c>
      <c r="D222" s="4">
        <v>11</v>
      </c>
      <c r="E222" s="4">
        <v>1</v>
      </c>
      <c r="F222" s="4">
        <v>5</v>
      </c>
    </row>
    <row r="223" spans="1:6" x14ac:dyDescent="0.3">
      <c r="A223" s="2">
        <v>222</v>
      </c>
      <c r="B223" s="4" t="s">
        <v>24</v>
      </c>
      <c r="C223" s="4">
        <v>5</v>
      </c>
      <c r="D223" s="4">
        <v>11</v>
      </c>
      <c r="E223" s="4">
        <v>2</v>
      </c>
      <c r="F223" s="4">
        <v>5</v>
      </c>
    </row>
    <row r="224" spans="1:6" x14ac:dyDescent="0.3">
      <c r="A224" s="2">
        <v>223</v>
      </c>
      <c r="B224" s="4" t="s">
        <v>24</v>
      </c>
      <c r="C224" s="4">
        <v>3</v>
      </c>
      <c r="D224" s="4">
        <v>12</v>
      </c>
      <c r="E224" s="4">
        <v>1</v>
      </c>
      <c r="F224" s="4">
        <v>4</v>
      </c>
    </row>
    <row r="225" spans="1:6" x14ac:dyDescent="0.3">
      <c r="A225" s="2">
        <v>224</v>
      </c>
      <c r="B225" s="4" t="s">
        <v>24</v>
      </c>
      <c r="C225" s="4">
        <v>4</v>
      </c>
      <c r="D225" s="4">
        <v>12</v>
      </c>
      <c r="E225" s="4">
        <v>2</v>
      </c>
      <c r="F225" s="4">
        <v>4</v>
      </c>
    </row>
    <row r="226" spans="1:6" x14ac:dyDescent="0.3">
      <c r="A226" s="2">
        <v>225</v>
      </c>
      <c r="B226" s="4" t="s">
        <v>24</v>
      </c>
      <c r="C226" s="4">
        <v>1</v>
      </c>
      <c r="D226" s="4">
        <v>13</v>
      </c>
      <c r="E226" s="4">
        <v>1</v>
      </c>
      <c r="F226" s="4">
        <v>1</v>
      </c>
    </row>
    <row r="227" spans="1:6" x14ac:dyDescent="0.3">
      <c r="A227" s="2">
        <v>226</v>
      </c>
      <c r="B227" s="4" t="s">
        <v>24</v>
      </c>
      <c r="C227" s="4">
        <v>1</v>
      </c>
      <c r="D227" s="4">
        <v>13</v>
      </c>
      <c r="E227" s="4">
        <v>2</v>
      </c>
      <c r="F227" s="4">
        <v>1</v>
      </c>
    </row>
    <row r="228" spans="1:6" x14ac:dyDescent="0.3">
      <c r="A228" s="2">
        <v>227</v>
      </c>
      <c r="B228" s="4" t="s">
        <v>24</v>
      </c>
      <c r="C228" s="4">
        <v>3</v>
      </c>
      <c r="D228" s="4">
        <v>14</v>
      </c>
      <c r="E228" s="4">
        <v>1</v>
      </c>
      <c r="F228" s="4">
        <v>3</v>
      </c>
    </row>
    <row r="229" spans="1:6" x14ac:dyDescent="0.3">
      <c r="A229" s="2">
        <v>228</v>
      </c>
      <c r="B229" s="4" t="s">
        <v>24</v>
      </c>
      <c r="C229" s="4">
        <v>3</v>
      </c>
      <c r="D229" s="4">
        <v>14</v>
      </c>
      <c r="E229" s="4">
        <v>2</v>
      </c>
      <c r="F229" s="4">
        <v>3</v>
      </c>
    </row>
    <row r="230" spans="1:6" x14ac:dyDescent="0.3">
      <c r="A230" s="2">
        <v>229</v>
      </c>
      <c r="B230" s="4" t="s">
        <v>24</v>
      </c>
      <c r="C230" s="4">
        <v>2</v>
      </c>
      <c r="D230" s="4">
        <v>15</v>
      </c>
      <c r="E230" s="4">
        <v>1</v>
      </c>
      <c r="F230" s="4">
        <v>2</v>
      </c>
    </row>
    <row r="231" spans="1:6" x14ac:dyDescent="0.3">
      <c r="A231" s="2">
        <v>230</v>
      </c>
      <c r="B231" s="4" t="s">
        <v>24</v>
      </c>
      <c r="C231" s="4">
        <v>2</v>
      </c>
      <c r="D231" s="4">
        <v>15</v>
      </c>
      <c r="E231" s="4">
        <v>2</v>
      </c>
      <c r="F231" s="4">
        <v>2</v>
      </c>
    </row>
    <row r="232" spans="1:6" x14ac:dyDescent="0.3">
      <c r="A232" s="2">
        <v>231</v>
      </c>
      <c r="B232" s="4" t="s">
        <v>24</v>
      </c>
      <c r="C232" s="4">
        <v>4</v>
      </c>
      <c r="D232" s="4">
        <v>16</v>
      </c>
      <c r="E232" s="4">
        <v>1</v>
      </c>
      <c r="F232" s="4">
        <v>4</v>
      </c>
    </row>
    <row r="233" spans="1:6" x14ac:dyDescent="0.3">
      <c r="A233" s="2">
        <v>232</v>
      </c>
      <c r="B233" s="4" t="s">
        <v>24</v>
      </c>
      <c r="C233" s="4">
        <v>4</v>
      </c>
      <c r="D233" s="4">
        <v>16</v>
      </c>
      <c r="E233" s="4">
        <v>2</v>
      </c>
      <c r="F233" s="4">
        <v>4</v>
      </c>
    </row>
    <row r="234" spans="1:6" x14ac:dyDescent="0.3">
      <c r="A234" s="2">
        <v>233</v>
      </c>
      <c r="B234" s="4" t="s">
        <v>24</v>
      </c>
      <c r="C234" s="4">
        <v>1</v>
      </c>
      <c r="D234" s="4">
        <v>17</v>
      </c>
      <c r="E234" s="4">
        <v>1</v>
      </c>
      <c r="F234" s="4">
        <v>1</v>
      </c>
    </row>
    <row r="235" spans="1:6" x14ac:dyDescent="0.3">
      <c r="A235" s="2">
        <v>234</v>
      </c>
      <c r="B235" s="4" t="s">
        <v>24</v>
      </c>
      <c r="C235" s="4">
        <v>1</v>
      </c>
      <c r="D235" s="4">
        <v>17</v>
      </c>
      <c r="E235" s="4">
        <v>2</v>
      </c>
      <c r="F235" s="4">
        <v>1</v>
      </c>
    </row>
    <row r="236" spans="1:6" x14ac:dyDescent="0.3">
      <c r="A236" s="2">
        <v>235</v>
      </c>
      <c r="B236" s="4" t="s">
        <v>24</v>
      </c>
      <c r="C236" s="4">
        <v>2</v>
      </c>
      <c r="D236" s="4">
        <v>18</v>
      </c>
      <c r="E236" s="4">
        <v>1</v>
      </c>
      <c r="F236" s="4">
        <v>2</v>
      </c>
    </row>
    <row r="237" spans="1:6" x14ac:dyDescent="0.3">
      <c r="A237" s="2">
        <v>236</v>
      </c>
      <c r="B237" s="4" t="s">
        <v>24</v>
      </c>
      <c r="C237" s="4">
        <v>2</v>
      </c>
      <c r="D237" s="4">
        <v>18</v>
      </c>
      <c r="E237" s="4">
        <v>2</v>
      </c>
      <c r="F237" s="4">
        <v>2</v>
      </c>
    </row>
    <row r="238" spans="1:6" x14ac:dyDescent="0.3">
      <c r="A238" s="2">
        <v>237</v>
      </c>
      <c r="B238" s="4" t="s">
        <v>24</v>
      </c>
      <c r="C238" s="4">
        <v>3</v>
      </c>
      <c r="D238" s="4">
        <v>19</v>
      </c>
      <c r="E238" s="4">
        <v>1</v>
      </c>
      <c r="F238" s="4">
        <v>3</v>
      </c>
    </row>
    <row r="239" spans="1:6" x14ac:dyDescent="0.3">
      <c r="A239" s="2">
        <v>238</v>
      </c>
      <c r="B239" s="4" t="s">
        <v>24</v>
      </c>
      <c r="C239" s="4">
        <v>3</v>
      </c>
      <c r="D239" s="4">
        <v>19</v>
      </c>
      <c r="E239" s="4">
        <v>2</v>
      </c>
      <c r="F239" s="4">
        <v>3</v>
      </c>
    </row>
    <row r="240" spans="1:6" x14ac:dyDescent="0.3">
      <c r="A240" s="2">
        <v>239</v>
      </c>
      <c r="B240" s="4" t="s">
        <v>24</v>
      </c>
      <c r="C240" s="4">
        <v>5</v>
      </c>
      <c r="D240" s="4">
        <v>20</v>
      </c>
      <c r="E240" s="4">
        <v>1</v>
      </c>
      <c r="F240" s="4">
        <v>5</v>
      </c>
    </row>
    <row r="241" spans="1:6" x14ac:dyDescent="0.3">
      <c r="A241" s="2">
        <v>240</v>
      </c>
      <c r="B241" s="4" t="s">
        <v>24</v>
      </c>
      <c r="C241" s="4">
        <v>5</v>
      </c>
      <c r="D241" s="4">
        <v>20</v>
      </c>
      <c r="E241" s="4">
        <v>2</v>
      </c>
      <c r="F241" s="4">
        <v>5</v>
      </c>
    </row>
    <row r="242" spans="1:6" x14ac:dyDescent="0.3">
      <c r="A242" s="2">
        <v>241</v>
      </c>
      <c r="B242" s="4" t="s">
        <v>24</v>
      </c>
      <c r="C242" s="4">
        <v>5</v>
      </c>
      <c r="D242" s="4">
        <v>21</v>
      </c>
      <c r="E242" s="4">
        <v>1</v>
      </c>
      <c r="F242" s="4">
        <v>5</v>
      </c>
    </row>
    <row r="243" spans="1:6" x14ac:dyDescent="0.3">
      <c r="A243" s="2">
        <v>242</v>
      </c>
      <c r="B243" s="4" t="s">
        <v>24</v>
      </c>
      <c r="C243" s="4">
        <v>5</v>
      </c>
      <c r="D243" s="4">
        <v>21</v>
      </c>
      <c r="E243" s="4">
        <v>2</v>
      </c>
      <c r="F243" s="4">
        <v>5</v>
      </c>
    </row>
    <row r="244" spans="1:6" x14ac:dyDescent="0.3">
      <c r="A244" s="2">
        <v>243</v>
      </c>
      <c r="B244" s="4" t="s">
        <v>24</v>
      </c>
      <c r="C244" s="4">
        <v>4</v>
      </c>
      <c r="D244" s="4">
        <v>22</v>
      </c>
      <c r="E244" s="4">
        <v>1</v>
      </c>
      <c r="F244" s="4">
        <v>4</v>
      </c>
    </row>
    <row r="245" spans="1:6" x14ac:dyDescent="0.3">
      <c r="A245" s="2">
        <v>244</v>
      </c>
      <c r="B245" s="4" t="s">
        <v>24</v>
      </c>
      <c r="C245" s="4">
        <v>4</v>
      </c>
      <c r="D245" s="4">
        <v>22</v>
      </c>
      <c r="E245" s="4">
        <v>2</v>
      </c>
      <c r="F245" s="4">
        <v>4</v>
      </c>
    </row>
    <row r="246" spans="1:6" x14ac:dyDescent="0.3">
      <c r="A246" s="2">
        <v>245</v>
      </c>
      <c r="B246" s="4" t="s">
        <v>24</v>
      </c>
      <c r="C246" s="4">
        <v>3</v>
      </c>
      <c r="D246" s="4">
        <v>23</v>
      </c>
      <c r="E246" s="4">
        <v>1</v>
      </c>
      <c r="F246" s="4">
        <v>3</v>
      </c>
    </row>
    <row r="247" spans="1:6" x14ac:dyDescent="0.3">
      <c r="A247" s="2">
        <v>246</v>
      </c>
      <c r="B247" s="4" t="s">
        <v>24</v>
      </c>
      <c r="C247" s="4">
        <v>3</v>
      </c>
      <c r="D247" s="4">
        <v>23</v>
      </c>
      <c r="E247" s="4">
        <v>2</v>
      </c>
      <c r="F247" s="4">
        <v>3</v>
      </c>
    </row>
    <row r="248" spans="1:6" x14ac:dyDescent="0.3">
      <c r="A248" s="2">
        <v>247</v>
      </c>
      <c r="B248" s="4" t="s">
        <v>24</v>
      </c>
      <c r="C248" s="4">
        <v>2</v>
      </c>
      <c r="D248" s="4">
        <v>24</v>
      </c>
      <c r="E248" s="4">
        <v>1</v>
      </c>
      <c r="F248" s="4">
        <v>2</v>
      </c>
    </row>
    <row r="249" spans="1:6" x14ac:dyDescent="0.3">
      <c r="A249" s="2">
        <v>248</v>
      </c>
      <c r="B249" s="4" t="s">
        <v>24</v>
      </c>
      <c r="C249" s="4">
        <v>2</v>
      </c>
      <c r="D249" s="4">
        <v>24</v>
      </c>
      <c r="E249" s="4">
        <v>2</v>
      </c>
      <c r="F249" s="4">
        <v>2</v>
      </c>
    </row>
    <row r="250" spans="1:6" x14ac:dyDescent="0.3">
      <c r="A250" s="2">
        <v>249</v>
      </c>
      <c r="B250" s="4" t="s">
        <v>24</v>
      </c>
      <c r="C250" s="4">
        <v>1</v>
      </c>
      <c r="D250" s="4">
        <v>25</v>
      </c>
      <c r="E250" s="4">
        <v>1</v>
      </c>
      <c r="F250" s="4">
        <v>2</v>
      </c>
    </row>
    <row r="251" spans="1:6" x14ac:dyDescent="0.3">
      <c r="A251" s="2">
        <v>250</v>
      </c>
      <c r="B251" s="4" t="s">
        <v>24</v>
      </c>
      <c r="C251" s="4">
        <v>2</v>
      </c>
      <c r="D251" s="4">
        <v>25</v>
      </c>
      <c r="E251" s="4">
        <v>2</v>
      </c>
      <c r="F251" s="4">
        <v>2</v>
      </c>
    </row>
    <row r="252" spans="1:6" x14ac:dyDescent="0.3">
      <c r="A252" s="2">
        <v>251</v>
      </c>
      <c r="B252" s="4" t="s">
        <v>24</v>
      </c>
      <c r="C252" s="4">
        <v>4</v>
      </c>
      <c r="D252" s="4">
        <v>26</v>
      </c>
      <c r="E252" s="4">
        <v>1</v>
      </c>
      <c r="F252" s="4">
        <v>4</v>
      </c>
    </row>
    <row r="253" spans="1:6" x14ac:dyDescent="0.3">
      <c r="A253" s="2">
        <v>252</v>
      </c>
      <c r="B253" s="4" t="s">
        <v>24</v>
      </c>
      <c r="C253" s="4">
        <v>4</v>
      </c>
      <c r="D253" s="4">
        <v>26</v>
      </c>
      <c r="E253" s="4">
        <v>2</v>
      </c>
      <c r="F253" s="4">
        <v>4</v>
      </c>
    </row>
    <row r="254" spans="1:6" x14ac:dyDescent="0.3">
      <c r="A254" s="2">
        <v>253</v>
      </c>
      <c r="B254" s="4" t="s">
        <v>24</v>
      </c>
      <c r="C254" s="4">
        <v>1</v>
      </c>
      <c r="D254" s="4">
        <v>27</v>
      </c>
      <c r="E254" s="4">
        <v>1</v>
      </c>
      <c r="F254" s="4">
        <v>1</v>
      </c>
    </row>
    <row r="255" spans="1:6" x14ac:dyDescent="0.3">
      <c r="A255" s="2">
        <v>254</v>
      </c>
      <c r="B255" s="4" t="s">
        <v>24</v>
      </c>
      <c r="C255" s="4">
        <v>1</v>
      </c>
      <c r="D255" s="4">
        <v>27</v>
      </c>
      <c r="E255" s="4">
        <v>2</v>
      </c>
      <c r="F255" s="4">
        <v>1</v>
      </c>
    </row>
    <row r="256" spans="1:6" x14ac:dyDescent="0.3">
      <c r="A256" s="2">
        <v>255</v>
      </c>
      <c r="B256" s="4" t="s">
        <v>24</v>
      </c>
      <c r="C256" s="4">
        <v>2</v>
      </c>
      <c r="D256" s="4">
        <v>28</v>
      </c>
      <c r="E256" s="4">
        <v>1</v>
      </c>
      <c r="F256" s="4">
        <v>2</v>
      </c>
    </row>
    <row r="257" spans="1:6" x14ac:dyDescent="0.3">
      <c r="A257" s="2">
        <v>256</v>
      </c>
      <c r="B257" s="4" t="s">
        <v>24</v>
      </c>
      <c r="C257" s="4">
        <v>2</v>
      </c>
      <c r="D257" s="4">
        <v>28</v>
      </c>
      <c r="E257" s="4">
        <v>2</v>
      </c>
      <c r="F257" s="4">
        <v>2</v>
      </c>
    </row>
    <row r="258" spans="1:6" x14ac:dyDescent="0.3">
      <c r="A258" s="2">
        <v>257</v>
      </c>
      <c r="B258" s="4" t="s">
        <v>24</v>
      </c>
      <c r="C258" s="4">
        <v>5</v>
      </c>
      <c r="D258" s="4">
        <v>29</v>
      </c>
      <c r="E258" s="4">
        <v>1</v>
      </c>
      <c r="F258" s="4">
        <v>5</v>
      </c>
    </row>
    <row r="259" spans="1:6" x14ac:dyDescent="0.3">
      <c r="A259" s="2">
        <v>258</v>
      </c>
      <c r="B259" s="4" t="s">
        <v>24</v>
      </c>
      <c r="C259" s="4">
        <v>5</v>
      </c>
      <c r="D259" s="4">
        <v>29</v>
      </c>
      <c r="E259" s="4">
        <v>2</v>
      </c>
      <c r="F259" s="4">
        <v>5</v>
      </c>
    </row>
    <row r="260" spans="1:6" x14ac:dyDescent="0.3">
      <c r="A260" s="2">
        <v>259</v>
      </c>
      <c r="B260" s="4" t="s">
        <v>24</v>
      </c>
      <c r="C260" s="4">
        <v>3</v>
      </c>
      <c r="D260" s="4">
        <v>30</v>
      </c>
      <c r="E260" s="4">
        <v>1</v>
      </c>
      <c r="F260" s="4">
        <v>3</v>
      </c>
    </row>
    <row r="261" spans="1:6" x14ac:dyDescent="0.3">
      <c r="A261" s="2">
        <v>260</v>
      </c>
      <c r="B261" s="4" t="s">
        <v>24</v>
      </c>
      <c r="C261" s="4">
        <v>3</v>
      </c>
      <c r="D261" s="4">
        <v>30</v>
      </c>
      <c r="E261" s="4">
        <v>2</v>
      </c>
      <c r="F261" s="4">
        <v>3</v>
      </c>
    </row>
    <row r="262" spans="1:6" x14ac:dyDescent="0.3">
      <c r="A262" s="2">
        <v>261</v>
      </c>
      <c r="B262" s="4" t="s">
        <v>24</v>
      </c>
      <c r="C262" s="4">
        <v>5</v>
      </c>
      <c r="D262" s="4">
        <v>31</v>
      </c>
      <c r="E262" s="4">
        <v>1</v>
      </c>
      <c r="F262" s="4">
        <v>5</v>
      </c>
    </row>
    <row r="263" spans="1:6" x14ac:dyDescent="0.3">
      <c r="A263" s="2">
        <v>262</v>
      </c>
      <c r="B263" s="4" t="s">
        <v>24</v>
      </c>
      <c r="C263" s="4">
        <v>5</v>
      </c>
      <c r="D263" s="4">
        <v>31</v>
      </c>
      <c r="E263" s="4">
        <v>2</v>
      </c>
      <c r="F263" s="4">
        <v>5</v>
      </c>
    </row>
    <row r="264" spans="1:6" x14ac:dyDescent="0.3">
      <c r="A264" s="2">
        <v>263</v>
      </c>
      <c r="B264" s="4" t="s">
        <v>24</v>
      </c>
      <c r="C264" s="4">
        <v>2</v>
      </c>
      <c r="D264" s="4">
        <v>32</v>
      </c>
      <c r="E264" s="4">
        <v>1</v>
      </c>
      <c r="F264" s="4">
        <v>2</v>
      </c>
    </row>
    <row r="265" spans="1:6" x14ac:dyDescent="0.3">
      <c r="A265" s="2">
        <v>264</v>
      </c>
      <c r="B265" s="4" t="s">
        <v>24</v>
      </c>
      <c r="C265" s="4">
        <v>1</v>
      </c>
      <c r="D265" s="4">
        <v>32</v>
      </c>
      <c r="E265" s="4">
        <v>2</v>
      </c>
      <c r="F265" s="4">
        <v>2</v>
      </c>
    </row>
    <row r="266" spans="1:6" x14ac:dyDescent="0.3">
      <c r="A266" s="2">
        <v>265</v>
      </c>
      <c r="B266" s="4" t="s">
        <v>24</v>
      </c>
      <c r="C266" s="4">
        <v>1</v>
      </c>
      <c r="D266" s="4">
        <v>33</v>
      </c>
      <c r="E266" s="4">
        <v>1</v>
      </c>
      <c r="F266" s="4">
        <v>1</v>
      </c>
    </row>
    <row r="267" spans="1:6" x14ac:dyDescent="0.3">
      <c r="A267" s="2">
        <v>266</v>
      </c>
      <c r="B267" s="4" t="s">
        <v>24</v>
      </c>
      <c r="C267" s="4">
        <v>1</v>
      </c>
      <c r="D267" s="4">
        <v>33</v>
      </c>
      <c r="E267" s="4">
        <v>2</v>
      </c>
      <c r="F267" s="4">
        <v>1</v>
      </c>
    </row>
    <row r="268" spans="1:6" x14ac:dyDescent="0.3">
      <c r="A268" s="2">
        <v>267</v>
      </c>
      <c r="B268" s="4" t="s">
        <v>24</v>
      </c>
      <c r="C268" s="4">
        <v>3</v>
      </c>
      <c r="D268" s="4">
        <v>34</v>
      </c>
      <c r="E268" s="4">
        <v>1</v>
      </c>
      <c r="F268" s="4">
        <v>3</v>
      </c>
    </row>
    <row r="269" spans="1:6" x14ac:dyDescent="0.3">
      <c r="A269" s="2">
        <v>268</v>
      </c>
      <c r="B269" s="4" t="s">
        <v>24</v>
      </c>
      <c r="C269" s="4">
        <v>4</v>
      </c>
      <c r="D269" s="4">
        <v>34</v>
      </c>
      <c r="E269" s="4">
        <v>2</v>
      </c>
      <c r="F269" s="4">
        <v>3</v>
      </c>
    </row>
    <row r="270" spans="1:6" x14ac:dyDescent="0.3">
      <c r="A270" s="2">
        <v>269</v>
      </c>
      <c r="B270" s="4" t="s">
        <v>24</v>
      </c>
      <c r="C270" s="4">
        <v>1</v>
      </c>
      <c r="D270" s="4">
        <v>35</v>
      </c>
      <c r="E270" s="4">
        <v>1</v>
      </c>
      <c r="F270" s="4">
        <v>1</v>
      </c>
    </row>
    <row r="271" spans="1:6" x14ac:dyDescent="0.3">
      <c r="A271" s="2">
        <v>270</v>
      </c>
      <c r="B271" s="4" t="s">
        <v>24</v>
      </c>
      <c r="C271" s="4">
        <v>1</v>
      </c>
      <c r="D271" s="4">
        <v>35</v>
      </c>
      <c r="E271" s="4">
        <v>2</v>
      </c>
      <c r="F271" s="4">
        <v>1</v>
      </c>
    </row>
    <row r="272" spans="1:6" x14ac:dyDescent="0.3">
      <c r="A272" s="2">
        <v>271</v>
      </c>
      <c r="B272" s="4" t="s">
        <v>24</v>
      </c>
      <c r="C272" s="4">
        <v>2</v>
      </c>
      <c r="D272" s="4">
        <v>36</v>
      </c>
      <c r="E272" s="4">
        <v>1</v>
      </c>
      <c r="F272" s="4">
        <v>2</v>
      </c>
    </row>
    <row r="273" spans="1:6" x14ac:dyDescent="0.3">
      <c r="A273" s="2">
        <v>272</v>
      </c>
      <c r="B273" s="4" t="s">
        <v>24</v>
      </c>
      <c r="C273" s="4">
        <v>2</v>
      </c>
      <c r="D273" s="4">
        <v>36</v>
      </c>
      <c r="E273" s="4">
        <v>2</v>
      </c>
      <c r="F273" s="4">
        <v>2</v>
      </c>
    </row>
    <row r="274" spans="1:6" x14ac:dyDescent="0.3">
      <c r="A274" s="2">
        <v>273</v>
      </c>
      <c r="B274" s="4" t="s">
        <v>24</v>
      </c>
      <c r="C274" s="4">
        <v>5</v>
      </c>
      <c r="D274" s="4">
        <v>37</v>
      </c>
      <c r="E274" s="4">
        <v>1</v>
      </c>
      <c r="F274" s="4">
        <v>5</v>
      </c>
    </row>
    <row r="275" spans="1:6" x14ac:dyDescent="0.3">
      <c r="A275" s="2">
        <v>274</v>
      </c>
      <c r="B275" s="4" t="s">
        <v>24</v>
      </c>
      <c r="C275" s="4">
        <v>5</v>
      </c>
      <c r="D275" s="4">
        <v>37</v>
      </c>
      <c r="E275" s="4">
        <v>2</v>
      </c>
      <c r="F275" s="4">
        <v>5</v>
      </c>
    </row>
    <row r="276" spans="1:6" x14ac:dyDescent="0.3">
      <c r="A276" s="2">
        <v>275</v>
      </c>
      <c r="B276" s="4" t="s">
        <v>24</v>
      </c>
      <c r="C276" s="4">
        <v>4</v>
      </c>
      <c r="D276" s="4">
        <v>38</v>
      </c>
      <c r="E276" s="4">
        <v>1</v>
      </c>
      <c r="F276" s="4">
        <v>4</v>
      </c>
    </row>
    <row r="277" spans="1:6" x14ac:dyDescent="0.3">
      <c r="A277" s="2">
        <v>276</v>
      </c>
      <c r="B277" s="4" t="s">
        <v>24</v>
      </c>
      <c r="C277" s="4">
        <v>4</v>
      </c>
      <c r="D277" s="4">
        <v>38</v>
      </c>
      <c r="E277" s="4">
        <v>2</v>
      </c>
      <c r="F277" s="4">
        <v>4</v>
      </c>
    </row>
    <row r="278" spans="1:6" x14ac:dyDescent="0.3">
      <c r="A278" s="2">
        <v>277</v>
      </c>
      <c r="B278" s="4" t="s">
        <v>24</v>
      </c>
      <c r="C278" s="4">
        <v>2</v>
      </c>
      <c r="D278" s="4">
        <v>39</v>
      </c>
      <c r="E278" s="4">
        <v>1</v>
      </c>
      <c r="F278" s="4">
        <v>2</v>
      </c>
    </row>
    <row r="279" spans="1:6" x14ac:dyDescent="0.3">
      <c r="A279" s="2">
        <v>278</v>
      </c>
      <c r="B279" s="4" t="s">
        <v>24</v>
      </c>
      <c r="C279" s="4">
        <v>2</v>
      </c>
      <c r="D279" s="4">
        <v>39</v>
      </c>
      <c r="E279" s="4">
        <v>2</v>
      </c>
      <c r="F279" s="4">
        <v>2</v>
      </c>
    </row>
    <row r="280" spans="1:6" x14ac:dyDescent="0.3">
      <c r="A280" s="2">
        <v>279</v>
      </c>
      <c r="B280" s="4" t="s">
        <v>24</v>
      </c>
      <c r="C280" s="4">
        <v>2</v>
      </c>
      <c r="D280" s="4">
        <v>40</v>
      </c>
      <c r="E280" s="4">
        <v>1</v>
      </c>
      <c r="F280" s="4">
        <v>3</v>
      </c>
    </row>
    <row r="281" spans="1:6" x14ac:dyDescent="0.3">
      <c r="A281" s="2">
        <v>280</v>
      </c>
      <c r="B281" s="4" t="s">
        <v>24</v>
      </c>
      <c r="C281" s="4">
        <v>2</v>
      </c>
      <c r="D281" s="4">
        <v>40</v>
      </c>
      <c r="E281" s="4">
        <v>2</v>
      </c>
      <c r="F281" s="4">
        <v>3</v>
      </c>
    </row>
    <row r="282" spans="1:6" x14ac:dyDescent="0.3">
      <c r="A282" s="2">
        <v>281</v>
      </c>
      <c r="B282" s="4" t="s">
        <v>24</v>
      </c>
      <c r="C282" s="4">
        <v>1</v>
      </c>
      <c r="D282" s="4">
        <v>41</v>
      </c>
      <c r="E282" s="4">
        <v>1</v>
      </c>
      <c r="F282" s="4">
        <v>1</v>
      </c>
    </row>
    <row r="283" spans="1:6" x14ac:dyDescent="0.3">
      <c r="A283" s="2">
        <v>282</v>
      </c>
      <c r="B283" s="4" t="s">
        <v>24</v>
      </c>
      <c r="C283" s="4">
        <v>1</v>
      </c>
      <c r="D283" s="4">
        <v>41</v>
      </c>
      <c r="E283" s="4">
        <v>2</v>
      </c>
      <c r="F283" s="4">
        <v>1</v>
      </c>
    </row>
    <row r="284" spans="1:6" x14ac:dyDescent="0.3">
      <c r="A284" s="2">
        <v>283</v>
      </c>
      <c r="B284" s="4" t="s">
        <v>24</v>
      </c>
      <c r="C284" s="4">
        <v>2</v>
      </c>
      <c r="D284" s="4">
        <v>42</v>
      </c>
      <c r="E284" s="4">
        <v>1</v>
      </c>
      <c r="F284" s="4">
        <v>2</v>
      </c>
    </row>
    <row r="285" spans="1:6" x14ac:dyDescent="0.3">
      <c r="A285" s="2">
        <v>284</v>
      </c>
      <c r="B285" s="4" t="s">
        <v>24</v>
      </c>
      <c r="C285" s="4">
        <v>2</v>
      </c>
      <c r="D285" s="4">
        <v>42</v>
      </c>
      <c r="E285" s="4">
        <v>2</v>
      </c>
      <c r="F285" s="4">
        <v>2</v>
      </c>
    </row>
    <row r="286" spans="1:6" x14ac:dyDescent="0.3">
      <c r="A286" s="2">
        <v>285</v>
      </c>
      <c r="B286" s="4" t="s">
        <v>24</v>
      </c>
      <c r="C286" s="4">
        <v>2</v>
      </c>
      <c r="D286" s="4">
        <v>43</v>
      </c>
      <c r="E286" s="4">
        <v>1</v>
      </c>
      <c r="F286" s="4">
        <v>2</v>
      </c>
    </row>
    <row r="287" spans="1:6" x14ac:dyDescent="0.3">
      <c r="A287" s="2">
        <v>286</v>
      </c>
      <c r="B287" s="4" t="s">
        <v>24</v>
      </c>
      <c r="C287" s="4">
        <v>1</v>
      </c>
      <c r="D287" s="4">
        <v>43</v>
      </c>
      <c r="E287" s="4">
        <v>2</v>
      </c>
      <c r="F287" s="4">
        <v>2</v>
      </c>
    </row>
    <row r="288" spans="1:6" x14ac:dyDescent="0.3">
      <c r="A288" s="2">
        <v>287</v>
      </c>
      <c r="B288" s="4" t="s">
        <v>24</v>
      </c>
      <c r="C288" s="4">
        <v>3</v>
      </c>
      <c r="D288" s="4">
        <v>44</v>
      </c>
      <c r="E288" s="4">
        <v>1</v>
      </c>
      <c r="F288" s="4">
        <v>3</v>
      </c>
    </row>
    <row r="289" spans="1:6" x14ac:dyDescent="0.3">
      <c r="A289" s="2">
        <v>288</v>
      </c>
      <c r="B289" s="4" t="s">
        <v>24</v>
      </c>
      <c r="C289" s="4">
        <v>3</v>
      </c>
      <c r="D289" s="4">
        <v>44</v>
      </c>
      <c r="E289" s="4">
        <v>2</v>
      </c>
      <c r="F289" s="4">
        <v>3</v>
      </c>
    </row>
    <row r="290" spans="1:6" x14ac:dyDescent="0.3">
      <c r="A290" s="2">
        <v>289</v>
      </c>
      <c r="B290" s="4" t="s">
        <v>24</v>
      </c>
      <c r="C290" s="4">
        <v>3</v>
      </c>
      <c r="D290" s="4">
        <v>45</v>
      </c>
      <c r="E290" s="4">
        <v>1</v>
      </c>
      <c r="F290" s="4">
        <v>3</v>
      </c>
    </row>
    <row r="291" spans="1:6" x14ac:dyDescent="0.3">
      <c r="A291" s="2">
        <v>290</v>
      </c>
      <c r="B291" s="4" t="s">
        <v>24</v>
      </c>
      <c r="C291" s="4">
        <v>3</v>
      </c>
      <c r="D291" s="4">
        <v>45</v>
      </c>
      <c r="E291" s="4">
        <v>2</v>
      </c>
      <c r="F291" s="4">
        <v>3</v>
      </c>
    </row>
    <row r="292" spans="1:6" x14ac:dyDescent="0.3">
      <c r="A292" s="2">
        <v>291</v>
      </c>
      <c r="B292" s="4" t="s">
        <v>24</v>
      </c>
      <c r="C292" s="4">
        <v>5</v>
      </c>
      <c r="D292" s="4">
        <v>46</v>
      </c>
      <c r="E292" s="4">
        <v>1</v>
      </c>
      <c r="F292" s="4">
        <v>5</v>
      </c>
    </row>
    <row r="293" spans="1:6" x14ac:dyDescent="0.3">
      <c r="A293" s="2">
        <v>292</v>
      </c>
      <c r="B293" s="4" t="s">
        <v>24</v>
      </c>
      <c r="C293" s="4">
        <v>5</v>
      </c>
      <c r="D293" s="4">
        <v>46</v>
      </c>
      <c r="E293" s="4">
        <v>2</v>
      </c>
      <c r="F293" s="4">
        <v>5</v>
      </c>
    </row>
    <row r="294" spans="1:6" x14ac:dyDescent="0.3">
      <c r="A294" s="2">
        <v>293</v>
      </c>
      <c r="B294" s="4" t="s">
        <v>24</v>
      </c>
      <c r="C294" s="4">
        <v>4</v>
      </c>
      <c r="D294" s="4">
        <v>47</v>
      </c>
      <c r="E294" s="4">
        <v>1</v>
      </c>
      <c r="F294" s="4">
        <v>4</v>
      </c>
    </row>
    <row r="295" spans="1:6" x14ac:dyDescent="0.3">
      <c r="A295" s="2">
        <v>294</v>
      </c>
      <c r="B295" s="4" t="s">
        <v>24</v>
      </c>
      <c r="C295" s="4">
        <v>4</v>
      </c>
      <c r="D295" s="4">
        <v>47</v>
      </c>
      <c r="E295" s="4">
        <v>2</v>
      </c>
      <c r="F295" s="4">
        <v>4</v>
      </c>
    </row>
    <row r="296" spans="1:6" x14ac:dyDescent="0.3">
      <c r="A296" s="2">
        <v>295</v>
      </c>
      <c r="B296" s="4" t="s">
        <v>24</v>
      </c>
      <c r="C296" s="4">
        <v>5</v>
      </c>
      <c r="D296" s="4">
        <v>48</v>
      </c>
      <c r="E296" s="4">
        <v>1</v>
      </c>
      <c r="F296" s="4">
        <v>5</v>
      </c>
    </row>
    <row r="297" spans="1:6" x14ac:dyDescent="0.3">
      <c r="A297" s="2">
        <v>296</v>
      </c>
      <c r="B297" s="4" t="s">
        <v>24</v>
      </c>
      <c r="C297" s="4">
        <v>5</v>
      </c>
      <c r="D297" s="4">
        <v>48</v>
      </c>
      <c r="E297" s="4">
        <v>2</v>
      </c>
      <c r="F297" s="4">
        <v>5</v>
      </c>
    </row>
    <row r="298" spans="1:6" x14ac:dyDescent="0.3">
      <c r="A298" s="2">
        <v>297</v>
      </c>
      <c r="B298" s="4" t="s">
        <v>24</v>
      </c>
      <c r="C298" s="4">
        <v>3</v>
      </c>
      <c r="D298" s="4">
        <v>49</v>
      </c>
      <c r="E298" s="4">
        <v>1</v>
      </c>
      <c r="F298" s="4">
        <v>4</v>
      </c>
    </row>
    <row r="299" spans="1:6" x14ac:dyDescent="0.3">
      <c r="A299" s="2">
        <v>298</v>
      </c>
      <c r="B299" s="4" t="s">
        <v>24</v>
      </c>
      <c r="C299" s="4">
        <v>4</v>
      </c>
      <c r="D299" s="4">
        <v>49</v>
      </c>
      <c r="E299" s="4">
        <v>2</v>
      </c>
      <c r="F299" s="4">
        <v>4</v>
      </c>
    </row>
    <row r="300" spans="1:6" x14ac:dyDescent="0.3">
      <c r="A300" s="2">
        <v>299</v>
      </c>
      <c r="B300" s="4" t="s">
        <v>24</v>
      </c>
      <c r="C300" s="4">
        <v>1</v>
      </c>
      <c r="D300" s="4">
        <v>50</v>
      </c>
      <c r="E300" s="4">
        <v>1</v>
      </c>
      <c r="F300" s="4">
        <v>1</v>
      </c>
    </row>
    <row r="301" spans="1:6" x14ac:dyDescent="0.3">
      <c r="A301" s="2">
        <v>300</v>
      </c>
      <c r="B301" s="4" t="s">
        <v>24</v>
      </c>
      <c r="C301" s="4">
        <v>1</v>
      </c>
      <c r="D301" s="4">
        <v>50</v>
      </c>
      <c r="E301" s="4">
        <v>2</v>
      </c>
      <c r="F301" s="4">
        <v>1</v>
      </c>
    </row>
    <row r="302" spans="1:6" x14ac:dyDescent="0.3">
      <c r="A302" s="2">
        <v>301</v>
      </c>
      <c r="B302" s="4" t="s">
        <v>25</v>
      </c>
      <c r="C302" s="4">
        <v>5</v>
      </c>
      <c r="D302" s="4">
        <v>1</v>
      </c>
      <c r="E302" s="4">
        <v>1</v>
      </c>
      <c r="F302" s="4">
        <v>5</v>
      </c>
    </row>
    <row r="303" spans="1:6" x14ac:dyDescent="0.3">
      <c r="A303" s="2">
        <v>302</v>
      </c>
      <c r="B303" s="4" t="s">
        <v>25</v>
      </c>
      <c r="C303" s="4">
        <v>5</v>
      </c>
      <c r="D303" s="4">
        <v>1</v>
      </c>
      <c r="E303" s="4">
        <v>2</v>
      </c>
      <c r="F303" s="4">
        <v>5</v>
      </c>
    </row>
    <row r="304" spans="1:6" x14ac:dyDescent="0.3">
      <c r="A304" s="2">
        <v>303</v>
      </c>
      <c r="B304" s="4" t="s">
        <v>25</v>
      </c>
      <c r="C304" s="4">
        <v>3</v>
      </c>
      <c r="D304" s="4">
        <v>2</v>
      </c>
      <c r="E304" s="4">
        <v>1</v>
      </c>
      <c r="F304" s="4">
        <v>3</v>
      </c>
    </row>
    <row r="305" spans="1:6" x14ac:dyDescent="0.3">
      <c r="A305" s="2">
        <v>304</v>
      </c>
      <c r="B305" s="4" t="s">
        <v>25</v>
      </c>
      <c r="C305" s="4">
        <v>3</v>
      </c>
      <c r="D305" s="4">
        <v>2</v>
      </c>
      <c r="E305" s="4">
        <v>2</v>
      </c>
      <c r="F305" s="4">
        <v>3</v>
      </c>
    </row>
    <row r="306" spans="1:6" x14ac:dyDescent="0.3">
      <c r="A306" s="2">
        <v>305</v>
      </c>
      <c r="B306" s="4" t="s">
        <v>25</v>
      </c>
      <c r="C306" s="4">
        <v>1</v>
      </c>
      <c r="D306" s="4">
        <v>3</v>
      </c>
      <c r="E306" s="4">
        <v>1</v>
      </c>
      <c r="F306" s="4">
        <v>1</v>
      </c>
    </row>
    <row r="307" spans="1:6" x14ac:dyDescent="0.3">
      <c r="A307" s="2">
        <v>306</v>
      </c>
      <c r="B307" s="4" t="s">
        <v>25</v>
      </c>
      <c r="C307" s="4">
        <v>1</v>
      </c>
      <c r="D307" s="4">
        <v>3</v>
      </c>
      <c r="E307" s="4">
        <v>2</v>
      </c>
      <c r="F307" s="4">
        <v>1</v>
      </c>
    </row>
    <row r="308" spans="1:6" x14ac:dyDescent="0.3">
      <c r="A308" s="2">
        <v>307</v>
      </c>
      <c r="B308" s="4" t="s">
        <v>25</v>
      </c>
      <c r="C308" s="4">
        <v>2</v>
      </c>
      <c r="D308" s="4">
        <v>4</v>
      </c>
      <c r="E308" s="4">
        <v>1</v>
      </c>
      <c r="F308" s="4">
        <v>2</v>
      </c>
    </row>
    <row r="309" spans="1:6" x14ac:dyDescent="0.3">
      <c r="A309" s="2">
        <v>308</v>
      </c>
      <c r="B309" s="4" t="s">
        <v>25</v>
      </c>
      <c r="C309" s="4">
        <v>2</v>
      </c>
      <c r="D309" s="4">
        <v>4</v>
      </c>
      <c r="E309" s="4">
        <v>2</v>
      </c>
      <c r="F309" s="4">
        <v>2</v>
      </c>
    </row>
    <row r="310" spans="1:6" x14ac:dyDescent="0.3">
      <c r="A310" s="2">
        <v>309</v>
      </c>
      <c r="B310" s="4" t="s">
        <v>25</v>
      </c>
      <c r="C310" s="4">
        <v>1</v>
      </c>
      <c r="D310" s="4">
        <v>5</v>
      </c>
      <c r="E310" s="4">
        <v>1</v>
      </c>
      <c r="F310" s="4">
        <v>1</v>
      </c>
    </row>
    <row r="311" spans="1:6" x14ac:dyDescent="0.3">
      <c r="A311" s="2">
        <v>310</v>
      </c>
      <c r="B311" s="4" t="s">
        <v>25</v>
      </c>
      <c r="C311" s="4">
        <v>1</v>
      </c>
      <c r="D311" s="4">
        <v>5</v>
      </c>
      <c r="E311" s="4">
        <v>2</v>
      </c>
      <c r="F311" s="4">
        <v>1</v>
      </c>
    </row>
    <row r="312" spans="1:6" x14ac:dyDescent="0.3">
      <c r="A312" s="2">
        <v>311</v>
      </c>
      <c r="B312" s="4" t="s">
        <v>25</v>
      </c>
      <c r="C312" s="4">
        <v>2</v>
      </c>
      <c r="D312" s="4">
        <v>6</v>
      </c>
      <c r="E312" s="4">
        <v>1</v>
      </c>
      <c r="F312" s="4">
        <v>3</v>
      </c>
    </row>
    <row r="313" spans="1:6" x14ac:dyDescent="0.3">
      <c r="A313" s="2">
        <v>312</v>
      </c>
      <c r="B313" s="4" t="s">
        <v>25</v>
      </c>
      <c r="C313" s="4">
        <v>2</v>
      </c>
      <c r="D313" s="4">
        <v>6</v>
      </c>
      <c r="E313" s="4">
        <v>2</v>
      </c>
      <c r="F313" s="4">
        <v>3</v>
      </c>
    </row>
    <row r="314" spans="1:6" x14ac:dyDescent="0.3">
      <c r="A314" s="2">
        <v>313</v>
      </c>
      <c r="B314" s="4" t="s">
        <v>25</v>
      </c>
      <c r="C314" s="4">
        <v>4</v>
      </c>
      <c r="D314" s="4">
        <v>7</v>
      </c>
      <c r="E314" s="4">
        <v>1</v>
      </c>
      <c r="F314" s="4">
        <v>4</v>
      </c>
    </row>
    <row r="315" spans="1:6" x14ac:dyDescent="0.3">
      <c r="A315" s="2">
        <v>314</v>
      </c>
      <c r="B315" s="4" t="s">
        <v>25</v>
      </c>
      <c r="C315" s="4">
        <v>4</v>
      </c>
      <c r="D315" s="4">
        <v>7</v>
      </c>
      <c r="E315" s="4">
        <v>2</v>
      </c>
      <c r="F315" s="4">
        <v>4</v>
      </c>
    </row>
    <row r="316" spans="1:6" x14ac:dyDescent="0.3">
      <c r="A316" s="2">
        <v>315</v>
      </c>
      <c r="B316" s="4" t="s">
        <v>25</v>
      </c>
      <c r="C316" s="4">
        <v>5</v>
      </c>
      <c r="D316" s="4">
        <v>8</v>
      </c>
      <c r="E316" s="4">
        <v>1</v>
      </c>
      <c r="F316" s="4">
        <v>5</v>
      </c>
    </row>
    <row r="317" spans="1:6" x14ac:dyDescent="0.3">
      <c r="A317" s="2">
        <v>316</v>
      </c>
      <c r="B317" s="4" t="s">
        <v>25</v>
      </c>
      <c r="C317" s="4">
        <v>5</v>
      </c>
      <c r="D317" s="4">
        <v>8</v>
      </c>
      <c r="E317" s="4">
        <v>2</v>
      </c>
      <c r="F317" s="4">
        <v>5</v>
      </c>
    </row>
    <row r="318" spans="1:6" x14ac:dyDescent="0.3">
      <c r="A318" s="2">
        <v>317</v>
      </c>
      <c r="B318" s="4" t="s">
        <v>25</v>
      </c>
      <c r="C318" s="4">
        <v>2</v>
      </c>
      <c r="D318" s="4">
        <v>9</v>
      </c>
      <c r="E318" s="4">
        <v>1</v>
      </c>
      <c r="F318" s="4">
        <v>2</v>
      </c>
    </row>
    <row r="319" spans="1:6" x14ac:dyDescent="0.3">
      <c r="A319" s="2">
        <v>318</v>
      </c>
      <c r="B319" s="4" t="s">
        <v>25</v>
      </c>
      <c r="C319" s="4">
        <v>2</v>
      </c>
      <c r="D319" s="4">
        <v>9</v>
      </c>
      <c r="E319" s="4">
        <v>2</v>
      </c>
      <c r="F319" s="4">
        <v>2</v>
      </c>
    </row>
    <row r="320" spans="1:6" x14ac:dyDescent="0.3">
      <c r="A320" s="2">
        <v>319</v>
      </c>
      <c r="B320" s="4" t="s">
        <v>25</v>
      </c>
      <c r="C320" s="4">
        <v>1</v>
      </c>
      <c r="D320" s="4">
        <v>10</v>
      </c>
      <c r="E320" s="4">
        <v>1</v>
      </c>
      <c r="F320" s="4">
        <v>1</v>
      </c>
    </row>
    <row r="321" spans="1:6" x14ac:dyDescent="0.3">
      <c r="A321" s="2">
        <v>320</v>
      </c>
      <c r="B321" s="4" t="s">
        <v>25</v>
      </c>
      <c r="C321" s="4">
        <v>1</v>
      </c>
      <c r="D321" s="4">
        <v>10</v>
      </c>
      <c r="E321" s="4">
        <v>2</v>
      </c>
      <c r="F321" s="4">
        <v>1</v>
      </c>
    </row>
    <row r="322" spans="1:6" x14ac:dyDescent="0.3">
      <c r="A322" s="2">
        <v>321</v>
      </c>
      <c r="B322" s="4" t="s">
        <v>25</v>
      </c>
      <c r="C322" s="4">
        <v>5</v>
      </c>
      <c r="D322" s="4">
        <v>11</v>
      </c>
      <c r="E322" s="4">
        <v>1</v>
      </c>
      <c r="F322" s="4">
        <v>5</v>
      </c>
    </row>
    <row r="323" spans="1:6" x14ac:dyDescent="0.3">
      <c r="A323" s="2">
        <v>322</v>
      </c>
      <c r="B323" s="4" t="s">
        <v>25</v>
      </c>
      <c r="C323" s="4">
        <v>5</v>
      </c>
      <c r="D323" s="4">
        <v>11</v>
      </c>
      <c r="E323" s="4">
        <v>2</v>
      </c>
      <c r="F323" s="4">
        <v>5</v>
      </c>
    </row>
    <row r="324" spans="1:6" x14ac:dyDescent="0.3">
      <c r="A324" s="2">
        <v>323</v>
      </c>
      <c r="B324" s="4" t="s">
        <v>25</v>
      </c>
      <c r="C324" s="4">
        <v>4</v>
      </c>
      <c r="D324" s="4">
        <v>12</v>
      </c>
      <c r="E324" s="4">
        <v>1</v>
      </c>
      <c r="F324" s="4">
        <v>4</v>
      </c>
    </row>
    <row r="325" spans="1:6" x14ac:dyDescent="0.3">
      <c r="A325" s="2">
        <v>324</v>
      </c>
      <c r="B325" s="4" t="s">
        <v>25</v>
      </c>
      <c r="C325" s="4">
        <v>4</v>
      </c>
      <c r="D325" s="4">
        <v>12</v>
      </c>
      <c r="E325" s="4">
        <v>2</v>
      </c>
      <c r="F325" s="4">
        <v>4</v>
      </c>
    </row>
    <row r="326" spans="1:6" x14ac:dyDescent="0.3">
      <c r="A326" s="2">
        <v>325</v>
      </c>
      <c r="B326" s="4" t="s">
        <v>25</v>
      </c>
      <c r="C326" s="4">
        <v>1</v>
      </c>
      <c r="D326" s="4">
        <v>13</v>
      </c>
      <c r="E326" s="4">
        <v>1</v>
      </c>
      <c r="F326" s="4">
        <v>1</v>
      </c>
    </row>
    <row r="327" spans="1:6" x14ac:dyDescent="0.3">
      <c r="A327" s="2">
        <v>326</v>
      </c>
      <c r="B327" s="4" t="s">
        <v>25</v>
      </c>
      <c r="C327" s="4">
        <v>1</v>
      </c>
      <c r="D327" s="4">
        <v>13</v>
      </c>
      <c r="E327" s="4">
        <v>2</v>
      </c>
      <c r="F327" s="4">
        <v>1</v>
      </c>
    </row>
    <row r="328" spans="1:6" x14ac:dyDescent="0.3">
      <c r="A328" s="2">
        <v>327</v>
      </c>
      <c r="B328" s="4" t="s">
        <v>25</v>
      </c>
      <c r="C328" s="4">
        <v>3</v>
      </c>
      <c r="D328" s="4">
        <v>14</v>
      </c>
      <c r="E328" s="4">
        <v>1</v>
      </c>
      <c r="F328" s="4">
        <v>3</v>
      </c>
    </row>
    <row r="329" spans="1:6" x14ac:dyDescent="0.3">
      <c r="A329" s="2">
        <v>328</v>
      </c>
      <c r="B329" s="4" t="s">
        <v>25</v>
      </c>
      <c r="C329" s="4">
        <v>3</v>
      </c>
      <c r="D329" s="4">
        <v>14</v>
      </c>
      <c r="E329" s="4">
        <v>2</v>
      </c>
      <c r="F329" s="4">
        <v>3</v>
      </c>
    </row>
    <row r="330" spans="1:6" x14ac:dyDescent="0.3">
      <c r="A330" s="2">
        <v>329</v>
      </c>
      <c r="B330" s="4" t="s">
        <v>25</v>
      </c>
      <c r="C330" s="4">
        <v>2</v>
      </c>
      <c r="D330" s="4">
        <v>15</v>
      </c>
      <c r="E330" s="4">
        <v>1</v>
      </c>
      <c r="F330" s="4">
        <v>2</v>
      </c>
    </row>
    <row r="331" spans="1:6" x14ac:dyDescent="0.3">
      <c r="A331" s="2">
        <v>330</v>
      </c>
      <c r="B331" s="4" t="s">
        <v>25</v>
      </c>
      <c r="C331" s="4">
        <v>2</v>
      </c>
      <c r="D331" s="4">
        <v>15</v>
      </c>
      <c r="E331" s="4">
        <v>2</v>
      </c>
      <c r="F331" s="4">
        <v>2</v>
      </c>
    </row>
    <row r="332" spans="1:6" x14ac:dyDescent="0.3">
      <c r="A332" s="2">
        <v>331</v>
      </c>
      <c r="B332" s="4" t="s">
        <v>25</v>
      </c>
      <c r="C332" s="4">
        <v>4</v>
      </c>
      <c r="D332" s="4">
        <v>16</v>
      </c>
      <c r="E332" s="4">
        <v>1</v>
      </c>
      <c r="F332" s="4">
        <v>4</v>
      </c>
    </row>
    <row r="333" spans="1:6" x14ac:dyDescent="0.3">
      <c r="A333" s="2">
        <v>332</v>
      </c>
      <c r="B333" s="4" t="s">
        <v>25</v>
      </c>
      <c r="C333" s="4">
        <v>4</v>
      </c>
      <c r="D333" s="4">
        <v>16</v>
      </c>
      <c r="E333" s="4">
        <v>2</v>
      </c>
      <c r="F333" s="4">
        <v>4</v>
      </c>
    </row>
    <row r="334" spans="1:6" x14ac:dyDescent="0.3">
      <c r="A334" s="2">
        <v>333</v>
      </c>
      <c r="B334" s="4" t="s">
        <v>25</v>
      </c>
      <c r="C334" s="4">
        <v>1</v>
      </c>
      <c r="D334" s="4">
        <v>17</v>
      </c>
      <c r="E334" s="4">
        <v>1</v>
      </c>
      <c r="F334" s="4">
        <v>1</v>
      </c>
    </row>
    <row r="335" spans="1:6" x14ac:dyDescent="0.3">
      <c r="A335" s="2">
        <v>334</v>
      </c>
      <c r="B335" s="4" t="s">
        <v>25</v>
      </c>
      <c r="C335" s="4">
        <v>1</v>
      </c>
      <c r="D335" s="4">
        <v>17</v>
      </c>
      <c r="E335" s="4">
        <v>2</v>
      </c>
      <c r="F335" s="4">
        <v>1</v>
      </c>
    </row>
    <row r="336" spans="1:6" x14ac:dyDescent="0.3">
      <c r="A336" s="2">
        <v>335</v>
      </c>
      <c r="B336" s="4" t="s">
        <v>25</v>
      </c>
      <c r="C336" s="4">
        <v>2</v>
      </c>
      <c r="D336" s="4">
        <v>18</v>
      </c>
      <c r="E336" s="4">
        <v>1</v>
      </c>
      <c r="F336" s="4">
        <v>2</v>
      </c>
    </row>
    <row r="337" spans="1:6" x14ac:dyDescent="0.3">
      <c r="A337" s="2">
        <v>336</v>
      </c>
      <c r="B337" s="4" t="s">
        <v>25</v>
      </c>
      <c r="C337" s="4">
        <v>3</v>
      </c>
      <c r="D337" s="4">
        <v>18</v>
      </c>
      <c r="E337" s="4">
        <v>2</v>
      </c>
      <c r="F337" s="4">
        <v>2</v>
      </c>
    </row>
    <row r="338" spans="1:6" x14ac:dyDescent="0.3">
      <c r="A338" s="2">
        <v>337</v>
      </c>
      <c r="B338" s="4" t="s">
        <v>25</v>
      </c>
      <c r="C338" s="4">
        <v>3</v>
      </c>
      <c r="D338" s="4">
        <v>19</v>
      </c>
      <c r="E338" s="4">
        <v>1</v>
      </c>
      <c r="F338" s="4">
        <v>3</v>
      </c>
    </row>
    <row r="339" spans="1:6" x14ac:dyDescent="0.3">
      <c r="A339" s="2">
        <v>338</v>
      </c>
      <c r="B339" s="4" t="s">
        <v>25</v>
      </c>
      <c r="C339" s="4">
        <v>3</v>
      </c>
      <c r="D339" s="4">
        <v>19</v>
      </c>
      <c r="E339" s="4">
        <v>2</v>
      </c>
      <c r="F339" s="4">
        <v>3</v>
      </c>
    </row>
    <row r="340" spans="1:6" x14ac:dyDescent="0.3">
      <c r="A340" s="2">
        <v>339</v>
      </c>
      <c r="B340" s="4" t="s">
        <v>25</v>
      </c>
      <c r="C340" s="4">
        <v>5</v>
      </c>
      <c r="D340" s="4">
        <v>20</v>
      </c>
      <c r="E340" s="4">
        <v>1</v>
      </c>
      <c r="F340" s="4">
        <v>5</v>
      </c>
    </row>
    <row r="341" spans="1:6" x14ac:dyDescent="0.3">
      <c r="A341" s="2">
        <v>340</v>
      </c>
      <c r="B341" s="4" t="s">
        <v>25</v>
      </c>
      <c r="C341" s="4">
        <v>5</v>
      </c>
      <c r="D341" s="4">
        <v>20</v>
      </c>
      <c r="E341" s="4">
        <v>2</v>
      </c>
      <c r="F341" s="4">
        <v>5</v>
      </c>
    </row>
    <row r="342" spans="1:6" x14ac:dyDescent="0.3">
      <c r="A342" s="2">
        <v>341</v>
      </c>
      <c r="B342" s="4" t="s">
        <v>25</v>
      </c>
      <c r="C342" s="4">
        <v>5</v>
      </c>
      <c r="D342" s="4">
        <v>21</v>
      </c>
      <c r="E342" s="4">
        <v>1</v>
      </c>
      <c r="F342" s="4">
        <v>5</v>
      </c>
    </row>
    <row r="343" spans="1:6" x14ac:dyDescent="0.3">
      <c r="A343" s="2">
        <v>342</v>
      </c>
      <c r="B343" s="4" t="s">
        <v>25</v>
      </c>
      <c r="C343" s="4">
        <v>5</v>
      </c>
      <c r="D343" s="4">
        <v>21</v>
      </c>
      <c r="E343" s="4">
        <v>2</v>
      </c>
      <c r="F343" s="4">
        <v>5</v>
      </c>
    </row>
    <row r="344" spans="1:6" x14ac:dyDescent="0.3">
      <c r="A344" s="2">
        <v>343</v>
      </c>
      <c r="B344" s="4" t="s">
        <v>25</v>
      </c>
      <c r="C344" s="4">
        <v>4</v>
      </c>
      <c r="D344" s="4">
        <v>22</v>
      </c>
      <c r="E344" s="4">
        <v>1</v>
      </c>
      <c r="F344" s="4">
        <v>4</v>
      </c>
    </row>
    <row r="345" spans="1:6" x14ac:dyDescent="0.3">
      <c r="A345" s="2">
        <v>344</v>
      </c>
      <c r="B345" s="4" t="s">
        <v>25</v>
      </c>
      <c r="C345" s="4">
        <v>4</v>
      </c>
      <c r="D345" s="4">
        <v>22</v>
      </c>
      <c r="E345" s="4">
        <v>2</v>
      </c>
      <c r="F345" s="4">
        <v>4</v>
      </c>
    </row>
    <row r="346" spans="1:6" x14ac:dyDescent="0.3">
      <c r="A346" s="2">
        <v>345</v>
      </c>
      <c r="B346" s="4" t="s">
        <v>25</v>
      </c>
      <c r="C346" s="4">
        <v>3</v>
      </c>
      <c r="D346" s="4">
        <v>23</v>
      </c>
      <c r="E346" s="4">
        <v>1</v>
      </c>
      <c r="F346" s="4">
        <v>3</v>
      </c>
    </row>
    <row r="347" spans="1:6" x14ac:dyDescent="0.3">
      <c r="A347" s="2">
        <v>346</v>
      </c>
      <c r="B347" s="4" t="s">
        <v>25</v>
      </c>
      <c r="C347" s="4">
        <v>3</v>
      </c>
      <c r="D347" s="4">
        <v>23</v>
      </c>
      <c r="E347" s="4">
        <v>2</v>
      </c>
      <c r="F347" s="4">
        <v>3</v>
      </c>
    </row>
    <row r="348" spans="1:6" x14ac:dyDescent="0.3">
      <c r="A348" s="2">
        <v>347</v>
      </c>
      <c r="B348" s="4" t="s">
        <v>25</v>
      </c>
      <c r="C348" s="4">
        <v>2</v>
      </c>
      <c r="D348" s="4">
        <v>24</v>
      </c>
      <c r="E348" s="4">
        <v>1</v>
      </c>
      <c r="F348" s="4">
        <v>2</v>
      </c>
    </row>
    <row r="349" spans="1:6" x14ac:dyDescent="0.3">
      <c r="A349" s="2">
        <v>348</v>
      </c>
      <c r="B349" s="4" t="s">
        <v>25</v>
      </c>
      <c r="C349" s="4">
        <v>2</v>
      </c>
      <c r="D349" s="4">
        <v>24</v>
      </c>
      <c r="E349" s="4">
        <v>2</v>
      </c>
      <c r="F349" s="4">
        <v>2</v>
      </c>
    </row>
    <row r="350" spans="1:6" x14ac:dyDescent="0.3">
      <c r="A350" s="2">
        <v>349</v>
      </c>
      <c r="B350" s="4" t="s">
        <v>25</v>
      </c>
      <c r="C350" s="4">
        <v>2</v>
      </c>
      <c r="D350" s="4">
        <v>25</v>
      </c>
      <c r="E350" s="4">
        <v>1</v>
      </c>
      <c r="F350" s="4">
        <v>2</v>
      </c>
    </row>
    <row r="351" spans="1:6" x14ac:dyDescent="0.3">
      <c r="A351" s="2">
        <v>350</v>
      </c>
      <c r="B351" s="4" t="s">
        <v>25</v>
      </c>
      <c r="C351" s="4">
        <v>2</v>
      </c>
      <c r="D351" s="4">
        <v>25</v>
      </c>
      <c r="E351" s="4">
        <v>2</v>
      </c>
      <c r="F351" s="4">
        <v>2</v>
      </c>
    </row>
    <row r="352" spans="1:6" x14ac:dyDescent="0.3">
      <c r="A352" s="2">
        <v>351</v>
      </c>
      <c r="B352" s="4" t="s">
        <v>25</v>
      </c>
      <c r="C352" s="4">
        <v>4</v>
      </c>
      <c r="D352" s="4">
        <v>26</v>
      </c>
      <c r="E352" s="4">
        <v>1</v>
      </c>
      <c r="F352" s="4">
        <v>4</v>
      </c>
    </row>
    <row r="353" spans="1:6" x14ac:dyDescent="0.3">
      <c r="A353" s="2">
        <v>352</v>
      </c>
      <c r="B353" s="4" t="s">
        <v>25</v>
      </c>
      <c r="C353" s="4">
        <v>4</v>
      </c>
      <c r="D353" s="4">
        <v>26</v>
      </c>
      <c r="E353" s="4">
        <v>2</v>
      </c>
      <c r="F353" s="4">
        <v>4</v>
      </c>
    </row>
    <row r="354" spans="1:6" x14ac:dyDescent="0.3">
      <c r="A354" s="2">
        <v>353</v>
      </c>
      <c r="B354" s="4" t="s">
        <v>25</v>
      </c>
      <c r="C354" s="4">
        <v>1</v>
      </c>
      <c r="D354" s="4">
        <v>27</v>
      </c>
      <c r="E354" s="4">
        <v>1</v>
      </c>
      <c r="F354" s="4">
        <v>1</v>
      </c>
    </row>
    <row r="355" spans="1:6" x14ac:dyDescent="0.3">
      <c r="A355" s="2">
        <v>354</v>
      </c>
      <c r="B355" s="4" t="s">
        <v>25</v>
      </c>
      <c r="C355" s="4">
        <v>1</v>
      </c>
      <c r="D355" s="4">
        <v>27</v>
      </c>
      <c r="E355" s="4">
        <v>2</v>
      </c>
      <c r="F355" s="4">
        <v>1</v>
      </c>
    </row>
    <row r="356" spans="1:6" x14ac:dyDescent="0.3">
      <c r="A356" s="2">
        <v>355</v>
      </c>
      <c r="B356" s="4" t="s">
        <v>25</v>
      </c>
      <c r="C356" s="4">
        <v>2</v>
      </c>
      <c r="D356" s="4">
        <v>28</v>
      </c>
      <c r="E356" s="4">
        <v>1</v>
      </c>
      <c r="F356" s="4">
        <v>2</v>
      </c>
    </row>
    <row r="357" spans="1:6" x14ac:dyDescent="0.3">
      <c r="A357" s="2">
        <v>356</v>
      </c>
      <c r="B357" s="4" t="s">
        <v>25</v>
      </c>
      <c r="C357" s="4">
        <v>2</v>
      </c>
      <c r="D357" s="4">
        <v>28</v>
      </c>
      <c r="E357" s="4">
        <v>2</v>
      </c>
      <c r="F357" s="4">
        <v>2</v>
      </c>
    </row>
    <row r="358" spans="1:6" x14ac:dyDescent="0.3">
      <c r="A358" s="2">
        <v>357</v>
      </c>
      <c r="B358" s="4" t="s">
        <v>25</v>
      </c>
      <c r="C358" s="4">
        <v>5</v>
      </c>
      <c r="D358" s="4">
        <v>29</v>
      </c>
      <c r="E358" s="4">
        <v>1</v>
      </c>
      <c r="F358" s="4">
        <v>5</v>
      </c>
    </row>
    <row r="359" spans="1:6" x14ac:dyDescent="0.3">
      <c r="A359" s="2">
        <v>358</v>
      </c>
      <c r="B359" s="4" t="s">
        <v>25</v>
      </c>
      <c r="C359" s="4">
        <v>5</v>
      </c>
      <c r="D359" s="4">
        <v>29</v>
      </c>
      <c r="E359" s="4">
        <v>2</v>
      </c>
      <c r="F359" s="4">
        <v>5</v>
      </c>
    </row>
    <row r="360" spans="1:6" x14ac:dyDescent="0.3">
      <c r="A360" s="2">
        <v>359</v>
      </c>
      <c r="B360" s="4" t="s">
        <v>25</v>
      </c>
      <c r="C360" s="4">
        <v>3</v>
      </c>
      <c r="D360" s="4">
        <v>30</v>
      </c>
      <c r="E360" s="4">
        <v>1</v>
      </c>
      <c r="F360" s="4">
        <v>3</v>
      </c>
    </row>
    <row r="361" spans="1:6" x14ac:dyDescent="0.3">
      <c r="A361" s="2">
        <v>360</v>
      </c>
      <c r="B361" s="4" t="s">
        <v>25</v>
      </c>
      <c r="C361" s="4">
        <v>3</v>
      </c>
      <c r="D361" s="4">
        <v>30</v>
      </c>
      <c r="E361" s="4">
        <v>2</v>
      </c>
      <c r="F361" s="4">
        <v>3</v>
      </c>
    </row>
    <row r="362" spans="1:6" x14ac:dyDescent="0.3">
      <c r="A362" s="2">
        <v>361</v>
      </c>
      <c r="B362" s="4" t="s">
        <v>25</v>
      </c>
      <c r="C362" s="4">
        <v>5</v>
      </c>
      <c r="D362" s="4">
        <v>31</v>
      </c>
      <c r="E362" s="4">
        <v>1</v>
      </c>
      <c r="F362" s="4">
        <v>5</v>
      </c>
    </row>
    <row r="363" spans="1:6" x14ac:dyDescent="0.3">
      <c r="A363" s="2">
        <v>362</v>
      </c>
      <c r="B363" s="4" t="s">
        <v>25</v>
      </c>
      <c r="C363" s="4">
        <v>5</v>
      </c>
      <c r="D363" s="4">
        <v>31</v>
      </c>
      <c r="E363" s="4">
        <v>2</v>
      </c>
      <c r="F363" s="4">
        <v>5</v>
      </c>
    </row>
    <row r="364" spans="1:6" x14ac:dyDescent="0.3">
      <c r="A364" s="2">
        <v>363</v>
      </c>
      <c r="B364" s="4" t="s">
        <v>25</v>
      </c>
      <c r="C364" s="4">
        <v>2</v>
      </c>
      <c r="D364" s="4">
        <v>32</v>
      </c>
      <c r="E364" s="4">
        <v>1</v>
      </c>
      <c r="F364" s="4">
        <v>2</v>
      </c>
    </row>
    <row r="365" spans="1:6" x14ac:dyDescent="0.3">
      <c r="A365" s="2">
        <v>364</v>
      </c>
      <c r="B365" s="4" t="s">
        <v>25</v>
      </c>
      <c r="C365" s="4">
        <v>3</v>
      </c>
      <c r="D365" s="4">
        <v>32</v>
      </c>
      <c r="E365" s="4">
        <v>2</v>
      </c>
      <c r="F365" s="4">
        <v>2</v>
      </c>
    </row>
    <row r="366" spans="1:6" x14ac:dyDescent="0.3">
      <c r="A366" s="2">
        <v>365</v>
      </c>
      <c r="B366" s="4" t="s">
        <v>25</v>
      </c>
      <c r="C366" s="4">
        <v>1</v>
      </c>
      <c r="D366" s="4">
        <v>33</v>
      </c>
      <c r="E366" s="4">
        <v>1</v>
      </c>
      <c r="F366" s="4">
        <v>1</v>
      </c>
    </row>
    <row r="367" spans="1:6" x14ac:dyDescent="0.3">
      <c r="A367" s="2">
        <v>366</v>
      </c>
      <c r="B367" s="4" t="s">
        <v>25</v>
      </c>
      <c r="C367" s="4">
        <v>1</v>
      </c>
      <c r="D367" s="4">
        <v>33</v>
      </c>
      <c r="E367" s="4">
        <v>2</v>
      </c>
      <c r="F367" s="4">
        <v>1</v>
      </c>
    </row>
    <row r="368" spans="1:6" x14ac:dyDescent="0.3">
      <c r="A368" s="2">
        <v>367</v>
      </c>
      <c r="B368" s="4" t="s">
        <v>25</v>
      </c>
      <c r="C368" s="4">
        <v>2</v>
      </c>
      <c r="D368" s="4">
        <v>34</v>
      </c>
      <c r="E368" s="4">
        <v>1</v>
      </c>
      <c r="F368" s="4">
        <v>3</v>
      </c>
    </row>
    <row r="369" spans="1:6" x14ac:dyDescent="0.3">
      <c r="A369" s="2">
        <v>368</v>
      </c>
      <c r="B369" s="4" t="s">
        <v>25</v>
      </c>
      <c r="C369" s="4">
        <v>2</v>
      </c>
      <c r="D369" s="4">
        <v>34</v>
      </c>
      <c r="E369" s="4">
        <v>2</v>
      </c>
      <c r="F369" s="4">
        <v>3</v>
      </c>
    </row>
    <row r="370" spans="1:6" x14ac:dyDescent="0.3">
      <c r="A370" s="2">
        <v>369</v>
      </c>
      <c r="B370" s="4" t="s">
        <v>25</v>
      </c>
      <c r="C370" s="4">
        <v>1</v>
      </c>
      <c r="D370" s="4">
        <v>35</v>
      </c>
      <c r="E370" s="4">
        <v>1</v>
      </c>
      <c r="F370" s="4">
        <v>1</v>
      </c>
    </row>
    <row r="371" spans="1:6" x14ac:dyDescent="0.3">
      <c r="A371" s="2">
        <v>370</v>
      </c>
      <c r="B371" s="4" t="s">
        <v>25</v>
      </c>
      <c r="C371" s="4">
        <v>1</v>
      </c>
      <c r="D371" s="4">
        <v>35</v>
      </c>
      <c r="E371" s="4">
        <v>2</v>
      </c>
      <c r="F371" s="4">
        <v>1</v>
      </c>
    </row>
    <row r="372" spans="1:6" x14ac:dyDescent="0.3">
      <c r="A372" s="2">
        <v>371</v>
      </c>
      <c r="B372" s="4" t="s">
        <v>25</v>
      </c>
      <c r="C372" s="4">
        <v>2</v>
      </c>
      <c r="D372" s="4">
        <v>36</v>
      </c>
      <c r="E372" s="4">
        <v>1</v>
      </c>
      <c r="F372" s="4">
        <v>2</v>
      </c>
    </row>
    <row r="373" spans="1:6" x14ac:dyDescent="0.3">
      <c r="A373" s="2">
        <v>372</v>
      </c>
      <c r="B373" s="4" t="s">
        <v>25</v>
      </c>
      <c r="C373" s="4">
        <v>2</v>
      </c>
      <c r="D373" s="4">
        <v>36</v>
      </c>
      <c r="E373" s="4">
        <v>2</v>
      </c>
      <c r="F373" s="4">
        <v>2</v>
      </c>
    </row>
    <row r="374" spans="1:6" x14ac:dyDescent="0.3">
      <c r="A374" s="2">
        <v>373</v>
      </c>
      <c r="B374" s="4" t="s">
        <v>25</v>
      </c>
      <c r="C374" s="4">
        <v>5</v>
      </c>
      <c r="D374" s="4">
        <v>37</v>
      </c>
      <c r="E374" s="4">
        <v>1</v>
      </c>
      <c r="F374" s="4">
        <v>5</v>
      </c>
    </row>
    <row r="375" spans="1:6" x14ac:dyDescent="0.3">
      <c r="A375" s="2">
        <v>374</v>
      </c>
      <c r="B375" s="4" t="s">
        <v>25</v>
      </c>
      <c r="C375" s="4">
        <v>5</v>
      </c>
      <c r="D375" s="4">
        <v>37</v>
      </c>
      <c r="E375" s="4">
        <v>2</v>
      </c>
      <c r="F375" s="4">
        <v>5</v>
      </c>
    </row>
    <row r="376" spans="1:6" x14ac:dyDescent="0.3">
      <c r="A376" s="2">
        <v>375</v>
      </c>
      <c r="B376" s="4" t="s">
        <v>25</v>
      </c>
      <c r="C376" s="4">
        <v>4</v>
      </c>
      <c r="D376" s="4">
        <v>38</v>
      </c>
      <c r="E376" s="4">
        <v>1</v>
      </c>
      <c r="F376" s="4">
        <v>4</v>
      </c>
    </row>
    <row r="377" spans="1:6" x14ac:dyDescent="0.3">
      <c r="A377" s="2">
        <v>376</v>
      </c>
      <c r="B377" s="4" t="s">
        <v>25</v>
      </c>
      <c r="C377" s="4">
        <v>4</v>
      </c>
      <c r="D377" s="4">
        <v>38</v>
      </c>
      <c r="E377" s="4">
        <v>2</v>
      </c>
      <c r="F377" s="4">
        <v>4</v>
      </c>
    </row>
    <row r="378" spans="1:6" x14ac:dyDescent="0.3">
      <c r="A378" s="2">
        <v>377</v>
      </c>
      <c r="B378" s="4" t="s">
        <v>25</v>
      </c>
      <c r="C378" s="4">
        <v>2</v>
      </c>
      <c r="D378" s="4">
        <v>39</v>
      </c>
      <c r="E378" s="4">
        <v>1</v>
      </c>
      <c r="F378" s="4">
        <v>2</v>
      </c>
    </row>
    <row r="379" spans="1:6" x14ac:dyDescent="0.3">
      <c r="A379" s="2">
        <v>378</v>
      </c>
      <c r="B379" s="4" t="s">
        <v>25</v>
      </c>
      <c r="C379" s="4">
        <v>2</v>
      </c>
      <c r="D379" s="4">
        <v>39</v>
      </c>
      <c r="E379" s="4">
        <v>2</v>
      </c>
      <c r="F379" s="4">
        <v>2</v>
      </c>
    </row>
    <row r="380" spans="1:6" x14ac:dyDescent="0.3">
      <c r="A380" s="2">
        <v>379</v>
      </c>
      <c r="B380" s="4" t="s">
        <v>25</v>
      </c>
      <c r="C380" s="4">
        <v>3</v>
      </c>
      <c r="D380" s="4">
        <v>40</v>
      </c>
      <c r="E380" s="4">
        <v>1</v>
      </c>
      <c r="F380" s="4">
        <v>3</v>
      </c>
    </row>
    <row r="381" spans="1:6" x14ac:dyDescent="0.3">
      <c r="A381" s="2">
        <v>380</v>
      </c>
      <c r="B381" s="4" t="s">
        <v>25</v>
      </c>
      <c r="C381" s="4">
        <v>3</v>
      </c>
      <c r="D381" s="4">
        <v>40</v>
      </c>
      <c r="E381" s="4">
        <v>2</v>
      </c>
      <c r="F381" s="4">
        <v>3</v>
      </c>
    </row>
    <row r="382" spans="1:6" x14ac:dyDescent="0.3">
      <c r="A382" s="2">
        <v>381</v>
      </c>
      <c r="B382" s="4" t="s">
        <v>25</v>
      </c>
      <c r="C382" s="4">
        <v>1</v>
      </c>
      <c r="D382" s="4">
        <v>41</v>
      </c>
      <c r="E382" s="4">
        <v>1</v>
      </c>
      <c r="F382" s="4">
        <v>1</v>
      </c>
    </row>
    <row r="383" spans="1:6" x14ac:dyDescent="0.3">
      <c r="A383" s="2">
        <v>382</v>
      </c>
      <c r="B383" s="4" t="s">
        <v>25</v>
      </c>
      <c r="C383" s="4">
        <v>1</v>
      </c>
      <c r="D383" s="4">
        <v>41</v>
      </c>
      <c r="E383" s="4">
        <v>2</v>
      </c>
      <c r="F383" s="4">
        <v>1</v>
      </c>
    </row>
    <row r="384" spans="1:6" x14ac:dyDescent="0.3">
      <c r="A384" s="2">
        <v>383</v>
      </c>
      <c r="B384" s="4" t="s">
        <v>25</v>
      </c>
      <c r="C384" s="4">
        <v>2</v>
      </c>
      <c r="D384" s="4">
        <v>42</v>
      </c>
      <c r="E384" s="4">
        <v>1</v>
      </c>
      <c r="F384" s="4">
        <v>2</v>
      </c>
    </row>
    <row r="385" spans="1:6" x14ac:dyDescent="0.3">
      <c r="A385" s="2">
        <v>384</v>
      </c>
      <c r="B385" s="4" t="s">
        <v>25</v>
      </c>
      <c r="C385" s="4">
        <v>2</v>
      </c>
      <c r="D385" s="4">
        <v>42</v>
      </c>
      <c r="E385" s="4">
        <v>2</v>
      </c>
      <c r="F385" s="4">
        <v>2</v>
      </c>
    </row>
    <row r="386" spans="1:6" x14ac:dyDescent="0.3">
      <c r="A386" s="2">
        <v>385</v>
      </c>
      <c r="B386" s="4" t="s">
        <v>25</v>
      </c>
      <c r="C386" s="4">
        <v>2</v>
      </c>
      <c r="D386" s="4">
        <v>43</v>
      </c>
      <c r="E386" s="4">
        <v>1</v>
      </c>
      <c r="F386" s="4">
        <v>2</v>
      </c>
    </row>
    <row r="387" spans="1:6" x14ac:dyDescent="0.3">
      <c r="A387" s="2">
        <v>386</v>
      </c>
      <c r="B387" s="4" t="s">
        <v>25</v>
      </c>
      <c r="C387" s="4">
        <v>2</v>
      </c>
      <c r="D387" s="4">
        <v>43</v>
      </c>
      <c r="E387" s="4">
        <v>2</v>
      </c>
      <c r="F387" s="4">
        <v>2</v>
      </c>
    </row>
    <row r="388" spans="1:6" x14ac:dyDescent="0.3">
      <c r="A388" s="2">
        <v>387</v>
      </c>
      <c r="B388" s="4" t="s">
        <v>25</v>
      </c>
      <c r="C388" s="4">
        <v>3</v>
      </c>
      <c r="D388" s="4">
        <v>44</v>
      </c>
      <c r="E388" s="4">
        <v>1</v>
      </c>
      <c r="F388" s="4">
        <v>3</v>
      </c>
    </row>
    <row r="389" spans="1:6" x14ac:dyDescent="0.3">
      <c r="A389" s="2">
        <v>388</v>
      </c>
      <c r="B389" s="4" t="s">
        <v>25</v>
      </c>
      <c r="C389" s="4">
        <v>3</v>
      </c>
      <c r="D389" s="4">
        <v>44</v>
      </c>
      <c r="E389" s="4">
        <v>2</v>
      </c>
      <c r="F389" s="4">
        <v>3</v>
      </c>
    </row>
    <row r="390" spans="1:6" x14ac:dyDescent="0.3">
      <c r="A390" s="2">
        <v>389</v>
      </c>
      <c r="B390" s="4" t="s">
        <v>25</v>
      </c>
      <c r="C390" s="4">
        <v>3</v>
      </c>
      <c r="D390" s="4">
        <v>45</v>
      </c>
      <c r="E390" s="4">
        <v>1</v>
      </c>
      <c r="F390" s="4">
        <v>3</v>
      </c>
    </row>
    <row r="391" spans="1:6" x14ac:dyDescent="0.3">
      <c r="A391" s="2">
        <v>390</v>
      </c>
      <c r="B391" s="4" t="s">
        <v>25</v>
      </c>
      <c r="C391" s="4">
        <v>3</v>
      </c>
      <c r="D391" s="4">
        <v>45</v>
      </c>
      <c r="E391" s="4">
        <v>2</v>
      </c>
      <c r="F391" s="4">
        <v>3</v>
      </c>
    </row>
    <row r="392" spans="1:6" x14ac:dyDescent="0.3">
      <c r="A392" s="2">
        <v>391</v>
      </c>
      <c r="B392" s="4" t="s">
        <v>25</v>
      </c>
      <c r="C392" s="4">
        <v>5</v>
      </c>
      <c r="D392" s="4">
        <v>46</v>
      </c>
      <c r="E392" s="4">
        <v>1</v>
      </c>
      <c r="F392" s="4">
        <v>5</v>
      </c>
    </row>
    <row r="393" spans="1:6" x14ac:dyDescent="0.3">
      <c r="A393" s="2">
        <v>392</v>
      </c>
      <c r="B393" s="4" t="s">
        <v>25</v>
      </c>
      <c r="C393" s="4">
        <v>5</v>
      </c>
      <c r="D393" s="4">
        <v>46</v>
      </c>
      <c r="E393" s="4">
        <v>2</v>
      </c>
      <c r="F393" s="4">
        <v>5</v>
      </c>
    </row>
    <row r="394" spans="1:6" x14ac:dyDescent="0.3">
      <c r="A394" s="2">
        <v>393</v>
      </c>
      <c r="B394" s="4" t="s">
        <v>25</v>
      </c>
      <c r="C394" s="4">
        <v>4</v>
      </c>
      <c r="D394" s="4">
        <v>47</v>
      </c>
      <c r="E394" s="4">
        <v>1</v>
      </c>
      <c r="F394" s="4">
        <v>4</v>
      </c>
    </row>
    <row r="395" spans="1:6" x14ac:dyDescent="0.3">
      <c r="A395" s="2">
        <v>394</v>
      </c>
      <c r="B395" s="4" t="s">
        <v>25</v>
      </c>
      <c r="C395" s="4">
        <v>4</v>
      </c>
      <c r="D395" s="4">
        <v>47</v>
      </c>
      <c r="E395" s="4">
        <v>2</v>
      </c>
      <c r="F395" s="4">
        <v>4</v>
      </c>
    </row>
    <row r="396" spans="1:6" x14ac:dyDescent="0.3">
      <c r="A396" s="2">
        <v>395</v>
      </c>
      <c r="B396" s="4" t="s">
        <v>25</v>
      </c>
      <c r="C396" s="4">
        <v>5</v>
      </c>
      <c r="D396" s="4">
        <v>48</v>
      </c>
      <c r="E396" s="4">
        <v>1</v>
      </c>
      <c r="F396" s="4">
        <v>5</v>
      </c>
    </row>
    <row r="397" spans="1:6" x14ac:dyDescent="0.3">
      <c r="A397" s="2">
        <v>396</v>
      </c>
      <c r="B397" s="4" t="s">
        <v>25</v>
      </c>
      <c r="C397" s="4">
        <v>5</v>
      </c>
      <c r="D397" s="4">
        <v>48</v>
      </c>
      <c r="E397" s="4">
        <v>2</v>
      </c>
      <c r="F397" s="4">
        <v>5</v>
      </c>
    </row>
    <row r="398" spans="1:6" x14ac:dyDescent="0.3">
      <c r="A398" s="2">
        <v>397</v>
      </c>
      <c r="B398" s="4" t="s">
        <v>25</v>
      </c>
      <c r="C398" s="4">
        <v>4</v>
      </c>
      <c r="D398" s="4">
        <v>49</v>
      </c>
      <c r="E398" s="4">
        <v>1</v>
      </c>
      <c r="F398" s="4">
        <v>4</v>
      </c>
    </row>
    <row r="399" spans="1:6" x14ac:dyDescent="0.3">
      <c r="A399" s="2">
        <v>398</v>
      </c>
      <c r="B399" s="4" t="s">
        <v>25</v>
      </c>
      <c r="C399" s="4">
        <v>4</v>
      </c>
      <c r="D399" s="4">
        <v>49</v>
      </c>
      <c r="E399" s="4">
        <v>2</v>
      </c>
      <c r="F399" s="4">
        <v>4</v>
      </c>
    </row>
    <row r="400" spans="1:6" x14ac:dyDescent="0.3">
      <c r="A400" s="2">
        <v>399</v>
      </c>
      <c r="B400" s="4" t="s">
        <v>25</v>
      </c>
      <c r="C400" s="4">
        <v>1</v>
      </c>
      <c r="D400" s="4">
        <v>50</v>
      </c>
      <c r="E400" s="4">
        <v>1</v>
      </c>
      <c r="F400" s="4">
        <v>1</v>
      </c>
    </row>
    <row r="401" spans="1:6" x14ac:dyDescent="0.3">
      <c r="A401" s="2">
        <v>400</v>
      </c>
      <c r="B401" s="4" t="s">
        <v>25</v>
      </c>
      <c r="C401" s="4">
        <v>1</v>
      </c>
      <c r="D401" s="4">
        <v>50</v>
      </c>
      <c r="E401" s="4">
        <v>2</v>
      </c>
      <c r="F401" s="4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5"/>
  <sheetViews>
    <sheetView workbookViewId="0"/>
  </sheetViews>
  <sheetFormatPr defaultRowHeight="14.4" x14ac:dyDescent="0.3"/>
  <cols>
    <col min="1" max="1" width="3.33203125" customWidth="1"/>
    <col min="2" max="2" width="34.44140625" bestFit="1" customWidth="1"/>
    <col min="3" max="7" width="11.109375" bestFit="1" customWidth="1"/>
    <col min="8" max="8" width="10.5546875" bestFit="1" customWidth="1"/>
    <col min="9" max="9" width="12.6640625" customWidth="1"/>
  </cols>
  <sheetData>
    <row r="1" spans="2:9" x14ac:dyDescent="0.3"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</row>
    <row r="2" spans="2:9" x14ac:dyDescent="0.3">
      <c r="B2" s="13" t="s">
        <v>34</v>
      </c>
      <c r="C2" s="14">
        <v>200</v>
      </c>
      <c r="D2" s="14">
        <v>20</v>
      </c>
      <c r="E2" s="14">
        <v>50</v>
      </c>
      <c r="F2" s="14">
        <v>50</v>
      </c>
      <c r="G2" s="14">
        <v>0</v>
      </c>
      <c r="H2" s="20">
        <f>SUM(C2:G2)</f>
        <v>320</v>
      </c>
      <c r="I2" s="21">
        <f>H2/$H$10</f>
        <v>1.4883720930232558E-4</v>
      </c>
    </row>
    <row r="3" spans="2:9" x14ac:dyDescent="0.3">
      <c r="B3" s="13" t="s">
        <v>35</v>
      </c>
      <c r="C3" s="14">
        <f>C10-C2</f>
        <v>749800</v>
      </c>
      <c r="D3" s="14">
        <f t="shared" ref="D3:G3" si="0">D10-D2</f>
        <v>649980</v>
      </c>
      <c r="E3" s="14">
        <f t="shared" si="0"/>
        <v>249950</v>
      </c>
      <c r="F3" s="14">
        <f t="shared" si="0"/>
        <v>49950</v>
      </c>
      <c r="G3" s="14">
        <f t="shared" si="0"/>
        <v>450000</v>
      </c>
      <c r="H3" s="20">
        <f>SUM(C3:G3)</f>
        <v>2149680</v>
      </c>
      <c r="I3" s="21">
        <f>H3/$H$10</f>
        <v>0.99985116279069763</v>
      </c>
    </row>
    <row r="4" spans="2:9" x14ac:dyDescent="0.3">
      <c r="B4" s="2"/>
      <c r="C4" s="2"/>
      <c r="D4" s="2"/>
      <c r="E4" s="2"/>
      <c r="F4" s="2"/>
      <c r="G4" s="2"/>
    </row>
    <row r="5" spans="2:9" x14ac:dyDescent="0.3">
      <c r="B5" s="5" t="s">
        <v>36</v>
      </c>
      <c r="C5" s="22">
        <f>$I$2*C10</f>
        <v>111.62790697674419</v>
      </c>
      <c r="D5" s="22">
        <f t="shared" ref="D5:F5" si="1">$I$2*D10</f>
        <v>96.744186046511629</v>
      </c>
      <c r="E5" s="22">
        <f t="shared" si="1"/>
        <v>37.209302325581397</v>
      </c>
      <c r="F5" s="22">
        <f t="shared" si="1"/>
        <v>7.441860465116279</v>
      </c>
      <c r="G5" s="22">
        <f>$I$2*G10</f>
        <v>66.976744186046517</v>
      </c>
    </row>
    <row r="6" spans="2:9" x14ac:dyDescent="0.3">
      <c r="B6" s="5" t="s">
        <v>37</v>
      </c>
      <c r="C6" s="22">
        <f>(C2-C5)^2/C5</f>
        <v>69.961240310077528</v>
      </c>
      <c r="D6" s="22">
        <f t="shared" ref="D6:G6" si="2">(D2-D5)^2/D5</f>
        <v>60.878801431127009</v>
      </c>
      <c r="E6" s="22">
        <f t="shared" si="2"/>
        <v>4.3968023255813939</v>
      </c>
      <c r="F6" s="22">
        <f t="shared" si="2"/>
        <v>243.37936046511629</v>
      </c>
      <c r="G6" s="22">
        <f t="shared" si="2"/>
        <v>66.976744186046517</v>
      </c>
    </row>
    <row r="7" spans="2:9" x14ac:dyDescent="0.3">
      <c r="B7" s="5" t="s">
        <v>38</v>
      </c>
      <c r="C7" s="22">
        <f>$I$3*C10</f>
        <v>749888.37209302327</v>
      </c>
      <c r="D7" s="22">
        <f t="shared" ref="D7:G7" si="3">$I$3*D10</f>
        <v>649903.25581395347</v>
      </c>
      <c r="E7" s="22">
        <f t="shared" si="3"/>
        <v>249962.79069767441</v>
      </c>
      <c r="F7" s="22">
        <f t="shared" si="3"/>
        <v>49992.558139534878</v>
      </c>
      <c r="G7" s="22">
        <f t="shared" si="3"/>
        <v>449933.02325581393</v>
      </c>
    </row>
    <row r="8" spans="2:9" x14ac:dyDescent="0.3">
      <c r="B8" s="2"/>
      <c r="C8" s="23"/>
      <c r="D8" s="23"/>
      <c r="E8" s="23"/>
      <c r="F8" s="23"/>
      <c r="G8" s="23"/>
    </row>
    <row r="9" spans="2:9" x14ac:dyDescent="0.3">
      <c r="B9" s="2"/>
      <c r="C9" s="2"/>
      <c r="D9" s="2"/>
      <c r="E9" s="2"/>
      <c r="F9" s="2"/>
      <c r="G9" s="2"/>
    </row>
    <row r="10" spans="2:9" x14ac:dyDescent="0.3">
      <c r="B10" s="13" t="s">
        <v>39</v>
      </c>
      <c r="C10" s="14">
        <v>750000</v>
      </c>
      <c r="D10" s="14">
        <v>650000</v>
      </c>
      <c r="E10" s="14">
        <v>250000</v>
      </c>
      <c r="F10" s="14">
        <v>50000</v>
      </c>
      <c r="G10" s="14">
        <v>450000</v>
      </c>
      <c r="H10" s="20">
        <f>SUM(C10:G10)</f>
        <v>2150000</v>
      </c>
    </row>
    <row r="11" spans="2:9" x14ac:dyDescent="0.3">
      <c r="B11" s="13" t="s">
        <v>40</v>
      </c>
      <c r="C11" s="15">
        <f>C2/C10</f>
        <v>2.6666666666666668E-4</v>
      </c>
      <c r="D11" s="15">
        <f t="shared" ref="D11:G11" si="4">D2/D10</f>
        <v>3.0769230769230768E-5</v>
      </c>
      <c r="E11" s="15">
        <f t="shared" si="4"/>
        <v>2.0000000000000001E-4</v>
      </c>
      <c r="F11" s="15">
        <f t="shared" si="4"/>
        <v>1E-3</v>
      </c>
      <c r="G11" s="15">
        <f t="shared" si="4"/>
        <v>0</v>
      </c>
      <c r="H11" s="19"/>
    </row>
    <row r="12" spans="2:9" x14ac:dyDescent="0.3">
      <c r="B12" s="1"/>
    </row>
    <row r="13" spans="2:9" ht="28.8" x14ac:dyDescent="0.3">
      <c r="H13" s="35" t="s">
        <v>41</v>
      </c>
      <c r="I13" s="36" t="s">
        <v>42</v>
      </c>
    </row>
    <row r="14" spans="2:9" x14ac:dyDescent="0.3">
      <c r="B14" s="37" t="s">
        <v>43</v>
      </c>
      <c r="C14" s="38">
        <f>(C2-C5)^2</f>
        <v>7809.6268253109793</v>
      </c>
      <c r="D14" s="38">
        <f t="shared" ref="D14:G14" si="5">(D2-D5)^2</f>
        <v>5889.6700919415898</v>
      </c>
      <c r="E14" s="38">
        <f t="shared" si="5"/>
        <v>163.60194699837746</v>
      </c>
      <c r="F14" s="38">
        <f t="shared" si="5"/>
        <v>1811.1952406706328</v>
      </c>
      <c r="G14" s="38">
        <f t="shared" si="5"/>
        <v>4485.8842617631162</v>
      </c>
      <c r="H14" s="17"/>
      <c r="I14" s="17"/>
    </row>
    <row r="15" spans="2:9" x14ac:dyDescent="0.3">
      <c r="B15" s="39" t="s">
        <v>44</v>
      </c>
      <c r="C15" s="40">
        <f>C14/C5</f>
        <v>69.961240310077528</v>
      </c>
      <c r="D15" s="40">
        <f t="shared" ref="D15:G15" si="6">D14/D5</f>
        <v>60.878801431127009</v>
      </c>
      <c r="E15" s="40">
        <f t="shared" si="6"/>
        <v>4.3968023255813939</v>
      </c>
      <c r="F15" s="40">
        <f t="shared" si="6"/>
        <v>243.37936046511629</v>
      </c>
      <c r="G15" s="40">
        <f t="shared" si="6"/>
        <v>66.976744186046517</v>
      </c>
      <c r="H15" s="42">
        <f>SUM(C15:G15)</f>
        <v>445.59294871794873</v>
      </c>
      <c r="I15" s="41">
        <f>_xlfn.CHISQ.INV.RT(0.05,4)</f>
        <v>9.4877290367811575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3"/>
  <sheetViews>
    <sheetView workbookViewId="0">
      <selection activeCell="E2" sqref="E2"/>
    </sheetView>
  </sheetViews>
  <sheetFormatPr defaultColWidth="8.6640625" defaultRowHeight="14.4" x14ac:dyDescent="0.3"/>
  <cols>
    <col min="1" max="1" width="22.33203125" style="7" bestFit="1" customWidth="1"/>
    <col min="2" max="2" width="8.6640625" style="8"/>
    <col min="3" max="3" width="9.33203125" style="10"/>
    <col min="4" max="4" width="12.6640625" style="10" bestFit="1" customWidth="1"/>
    <col min="5" max="5" width="20.6640625" style="10" bestFit="1" customWidth="1"/>
    <col min="6" max="6" width="8.6640625" style="8"/>
    <col min="7" max="7" width="9.33203125" style="10"/>
    <col min="8" max="8" width="18.6640625" style="10" bestFit="1" customWidth="1"/>
    <col min="9" max="10" width="15.44140625" style="8" customWidth="1"/>
    <col min="11" max="11" width="9.33203125" style="10"/>
    <col min="12" max="12" width="15.33203125" style="10" bestFit="1" customWidth="1"/>
    <col min="13" max="13" width="15.5546875" style="10" bestFit="1" customWidth="1"/>
    <col min="14" max="14" width="9.33203125" style="10"/>
    <col min="15" max="15" width="8.6640625" style="8"/>
    <col min="16" max="16" width="25.6640625" style="10" bestFit="1" customWidth="1"/>
    <col min="17" max="17" width="27.6640625" style="10" bestFit="1" customWidth="1"/>
    <col min="18" max="18" width="14.33203125" style="10" customWidth="1"/>
    <col min="19" max="16384" width="8.6640625" style="8"/>
  </cols>
  <sheetData>
    <row r="1" spans="1:18" x14ac:dyDescent="0.3">
      <c r="A1" s="24" t="s">
        <v>45</v>
      </c>
      <c r="C1" s="25" t="s">
        <v>46</v>
      </c>
      <c r="D1" s="26" t="s">
        <v>47</v>
      </c>
      <c r="E1" s="26" t="s">
        <v>132</v>
      </c>
      <c r="G1" s="27" t="s">
        <v>48</v>
      </c>
      <c r="H1" s="28" t="s">
        <v>49</v>
      </c>
      <c r="J1" s="8" t="s">
        <v>50</v>
      </c>
      <c r="K1" s="25" t="s">
        <v>51</v>
      </c>
      <c r="L1" s="28" t="s">
        <v>52</v>
      </c>
      <c r="M1" s="26" t="s">
        <v>53</v>
      </c>
      <c r="N1" s="28" t="s">
        <v>54</v>
      </c>
      <c r="P1" s="28" t="s">
        <v>55</v>
      </c>
      <c r="Q1" s="30" t="s">
        <v>56</v>
      </c>
      <c r="R1" s="11"/>
    </row>
    <row r="2" spans="1:18" x14ac:dyDescent="0.3">
      <c r="A2" s="24">
        <v>76.660378474418522</v>
      </c>
      <c r="C2" s="25">
        <v>43101</v>
      </c>
      <c r="D2" s="26" t="s">
        <v>57</v>
      </c>
      <c r="E2" s="26" t="s">
        <v>58</v>
      </c>
      <c r="G2" s="27">
        <v>1</v>
      </c>
      <c r="H2" s="27">
        <v>76</v>
      </c>
      <c r="K2" s="25">
        <v>43101</v>
      </c>
      <c r="L2" s="28">
        <v>1013</v>
      </c>
      <c r="M2" s="26">
        <v>192</v>
      </c>
      <c r="N2" s="28" t="s">
        <v>59</v>
      </c>
      <c r="P2" s="29">
        <v>19.5</v>
      </c>
      <c r="Q2" s="31">
        <v>19.5</v>
      </c>
      <c r="R2" s="12"/>
    </row>
    <row r="3" spans="1:18" x14ac:dyDescent="0.3">
      <c r="A3" s="24">
        <v>80.366125452019631</v>
      </c>
      <c r="C3" s="25">
        <v>43132</v>
      </c>
      <c r="D3" s="26">
        <v>992</v>
      </c>
      <c r="E3" s="26" t="s">
        <v>60</v>
      </c>
      <c r="G3" s="27">
        <v>1</v>
      </c>
      <c r="H3" s="27">
        <v>77</v>
      </c>
      <c r="K3" s="25">
        <v>43132</v>
      </c>
      <c r="L3" s="28">
        <v>992</v>
      </c>
      <c r="M3" s="26">
        <v>195</v>
      </c>
      <c r="N3" s="28" t="s">
        <v>59</v>
      </c>
      <c r="P3" s="29">
        <v>20.9</v>
      </c>
      <c r="Q3" s="31">
        <v>20.9</v>
      </c>
      <c r="R3" s="12"/>
    </row>
    <row r="4" spans="1:18" x14ac:dyDescent="0.3">
      <c r="A4" s="24">
        <v>77.246827992891696</v>
      </c>
      <c r="C4" s="25">
        <v>43160</v>
      </c>
      <c r="D4" s="26">
        <v>960</v>
      </c>
      <c r="E4" s="26" t="s">
        <v>61</v>
      </c>
      <c r="G4" s="27">
        <v>1</v>
      </c>
      <c r="H4" s="27">
        <v>78</v>
      </c>
      <c r="K4" s="25">
        <v>43160</v>
      </c>
      <c r="L4" s="28">
        <v>960</v>
      </c>
      <c r="M4" s="26">
        <v>100</v>
      </c>
      <c r="N4" s="28" t="s">
        <v>59</v>
      </c>
      <c r="P4" s="29">
        <v>21.2</v>
      </c>
      <c r="Q4" s="31">
        <v>21.2</v>
      </c>
      <c r="R4" s="12"/>
    </row>
    <row r="5" spans="1:18" x14ac:dyDescent="0.3">
      <c r="A5" s="24">
        <v>79.072676285051386</v>
      </c>
      <c r="C5" s="25">
        <v>43191</v>
      </c>
      <c r="D5" s="26">
        <v>996</v>
      </c>
      <c r="E5" s="26" t="s">
        <v>62</v>
      </c>
      <c r="G5" s="27">
        <v>2</v>
      </c>
      <c r="H5" s="27">
        <v>77</v>
      </c>
      <c r="K5" s="25">
        <v>43191</v>
      </c>
      <c r="L5" s="28">
        <v>996</v>
      </c>
      <c r="M5" s="26">
        <v>207</v>
      </c>
      <c r="N5" s="28" t="s">
        <v>59</v>
      </c>
      <c r="P5" s="29">
        <v>21.364383116255389</v>
      </c>
      <c r="Q5" s="31">
        <v>21.364383116255389</v>
      </c>
      <c r="R5" s="12"/>
    </row>
    <row r="6" spans="1:18" x14ac:dyDescent="0.3">
      <c r="A6" s="24">
        <v>77.328159966502412</v>
      </c>
      <c r="C6" s="25">
        <v>43221</v>
      </c>
      <c r="D6" s="26">
        <v>983</v>
      </c>
      <c r="E6" s="26" t="s">
        <v>63</v>
      </c>
      <c r="G6" s="27">
        <v>2</v>
      </c>
      <c r="H6" s="27">
        <v>80</v>
      </c>
      <c r="K6" s="25">
        <v>43221</v>
      </c>
      <c r="L6" s="28">
        <v>983</v>
      </c>
      <c r="M6" s="26">
        <v>194</v>
      </c>
      <c r="N6" s="28" t="s">
        <v>59</v>
      </c>
      <c r="P6" s="29">
        <v>22.224956421830694</v>
      </c>
      <c r="Q6" s="31">
        <v>22.224956421830694</v>
      </c>
      <c r="R6" s="12"/>
    </row>
    <row r="7" spans="1:18" x14ac:dyDescent="0.3">
      <c r="A7" s="24">
        <v>76.9757797720425</v>
      </c>
      <c r="C7" s="25">
        <v>43252</v>
      </c>
      <c r="D7" s="26">
        <v>955</v>
      </c>
      <c r="E7" s="26" t="s">
        <v>60</v>
      </c>
      <c r="G7" s="27">
        <v>2</v>
      </c>
      <c r="H7" s="27">
        <v>79</v>
      </c>
      <c r="K7" s="25">
        <v>43252</v>
      </c>
      <c r="L7" s="28">
        <v>955</v>
      </c>
      <c r="M7" s="26">
        <v>195</v>
      </c>
      <c r="N7" s="28" t="s">
        <v>59</v>
      </c>
      <c r="P7" s="29">
        <v>23.409121348789665</v>
      </c>
      <c r="Q7" s="31">
        <v>23.409121348789665</v>
      </c>
      <c r="R7" s="12"/>
    </row>
    <row r="8" spans="1:18" x14ac:dyDescent="0.3">
      <c r="A8" s="24">
        <v>78.23239075259734</v>
      </c>
      <c r="C8" s="25">
        <v>43282</v>
      </c>
      <c r="D8" s="26">
        <v>951</v>
      </c>
      <c r="E8" s="26" t="s">
        <v>60</v>
      </c>
      <c r="G8" s="27">
        <v>3</v>
      </c>
      <c r="H8" s="27">
        <v>80</v>
      </c>
      <c r="K8" s="25">
        <v>43282</v>
      </c>
      <c r="L8" s="28">
        <v>951</v>
      </c>
      <c r="M8" s="26">
        <v>195</v>
      </c>
      <c r="N8" s="28" t="s">
        <v>59</v>
      </c>
      <c r="P8" s="29">
        <v>24.1</v>
      </c>
      <c r="Q8" s="31">
        <v>24.1</v>
      </c>
      <c r="R8" s="12"/>
    </row>
    <row r="9" spans="1:18" x14ac:dyDescent="0.3">
      <c r="A9" s="24">
        <v>78.958511642723167</v>
      </c>
      <c r="C9" s="25">
        <v>43313</v>
      </c>
      <c r="D9" s="26">
        <v>984</v>
      </c>
      <c r="E9" s="26" t="s">
        <v>64</v>
      </c>
      <c r="G9" s="27">
        <v>3</v>
      </c>
      <c r="H9" s="27">
        <v>77</v>
      </c>
      <c r="K9" s="25">
        <v>43313</v>
      </c>
      <c r="L9" s="28">
        <v>984</v>
      </c>
      <c r="M9" s="26">
        <v>204</v>
      </c>
      <c r="N9" s="28" t="s">
        <v>59</v>
      </c>
      <c r="P9" s="29">
        <v>24.8</v>
      </c>
      <c r="Q9" s="31">
        <v>24.8</v>
      </c>
      <c r="R9" s="12"/>
    </row>
    <row r="10" spans="1:18" x14ac:dyDescent="0.3">
      <c r="A10" s="24">
        <v>76.922328964102377</v>
      </c>
      <c r="C10" s="25">
        <v>43344</v>
      </c>
      <c r="D10" s="26" t="s">
        <v>65</v>
      </c>
      <c r="E10" s="26" t="s">
        <v>66</v>
      </c>
      <c r="G10" s="27">
        <v>3</v>
      </c>
      <c r="H10" s="27">
        <v>80</v>
      </c>
      <c r="K10" s="25">
        <v>43344</v>
      </c>
      <c r="L10" s="28">
        <v>1023</v>
      </c>
      <c r="M10" s="26">
        <v>206</v>
      </c>
      <c r="N10" s="28" t="s">
        <v>59</v>
      </c>
      <c r="P10" s="29">
        <v>25.2</v>
      </c>
      <c r="Q10" s="31">
        <v>25.2</v>
      </c>
      <c r="R10" s="12"/>
    </row>
    <row r="11" spans="1:18" x14ac:dyDescent="0.3">
      <c r="A11" s="24">
        <v>78.875283111830882</v>
      </c>
      <c r="C11" s="25">
        <v>43374</v>
      </c>
      <c r="D11" s="26">
        <v>986</v>
      </c>
      <c r="E11" s="26" t="s">
        <v>67</v>
      </c>
      <c r="G11" s="27">
        <v>4</v>
      </c>
      <c r="H11" s="27">
        <v>80</v>
      </c>
      <c r="K11" s="25">
        <v>43374</v>
      </c>
      <c r="L11" s="28">
        <v>986</v>
      </c>
      <c r="M11" s="26">
        <v>209</v>
      </c>
      <c r="N11" s="28" t="s">
        <v>59</v>
      </c>
      <c r="P11" s="29">
        <v>25.8</v>
      </c>
      <c r="Q11" s="31">
        <v>25.8</v>
      </c>
      <c r="R11" s="12"/>
    </row>
    <row r="12" spans="1:18" x14ac:dyDescent="0.3">
      <c r="A12" s="24">
        <v>77.693560476007931</v>
      </c>
      <c r="C12" s="25">
        <v>43405</v>
      </c>
      <c r="D12" s="26">
        <v>967</v>
      </c>
      <c r="E12" s="26" t="s">
        <v>68</v>
      </c>
      <c r="G12" s="27">
        <v>4</v>
      </c>
      <c r="H12" s="27">
        <v>76</v>
      </c>
      <c r="K12" s="25">
        <v>43405</v>
      </c>
      <c r="L12" s="28">
        <v>967</v>
      </c>
      <c r="M12" s="26">
        <v>198</v>
      </c>
      <c r="N12" s="28" t="s">
        <v>59</v>
      </c>
      <c r="P12" s="29">
        <v>23.312442267945887</v>
      </c>
      <c r="Q12" s="32"/>
    </row>
    <row r="13" spans="1:18" x14ac:dyDescent="0.3">
      <c r="A13" s="24">
        <v>77.253200300864762</v>
      </c>
      <c r="C13" s="25">
        <v>43435</v>
      </c>
      <c r="D13" s="26" t="s">
        <v>69</v>
      </c>
      <c r="E13" s="26" t="s">
        <v>63</v>
      </c>
      <c r="G13" s="27">
        <v>4</v>
      </c>
      <c r="H13" s="27">
        <v>80</v>
      </c>
      <c r="K13" s="25">
        <v>43435</v>
      </c>
      <c r="L13" s="28">
        <v>1017</v>
      </c>
      <c r="M13" s="26">
        <v>194</v>
      </c>
      <c r="N13" s="28" t="s">
        <v>59</v>
      </c>
      <c r="P13" s="29">
        <v>24.187729403363257</v>
      </c>
    </row>
    <row r="14" spans="1:18" x14ac:dyDescent="0.3">
      <c r="A14" s="24">
        <v>77.803621727204302</v>
      </c>
      <c r="C14" s="25">
        <v>43466</v>
      </c>
      <c r="D14" s="26" t="s">
        <v>70</v>
      </c>
      <c r="E14" s="26" t="s">
        <v>71</v>
      </c>
      <c r="G14" s="27">
        <v>5</v>
      </c>
      <c r="H14" s="27">
        <v>76</v>
      </c>
      <c r="K14" s="25">
        <v>43466</v>
      </c>
      <c r="L14" s="28">
        <v>900</v>
      </c>
      <c r="M14" s="26">
        <v>196</v>
      </c>
      <c r="N14" s="28" t="s">
        <v>59</v>
      </c>
      <c r="P14" s="29">
        <v>23.332873452577399</v>
      </c>
    </row>
    <row r="15" spans="1:18" x14ac:dyDescent="0.3">
      <c r="A15" s="24">
        <v>78.656680811472341</v>
      </c>
      <c r="C15" s="25">
        <v>43497</v>
      </c>
      <c r="D15" s="26">
        <v>969</v>
      </c>
      <c r="E15" s="26" t="s">
        <v>60</v>
      </c>
      <c r="G15" s="27">
        <v>5</v>
      </c>
      <c r="H15" s="27">
        <v>85</v>
      </c>
      <c r="K15" s="25">
        <v>43497</v>
      </c>
      <c r="L15" s="28">
        <v>969</v>
      </c>
      <c r="M15" s="26">
        <v>195</v>
      </c>
      <c r="N15" s="28" t="s">
        <v>59</v>
      </c>
      <c r="P15" s="29">
        <v>23.296667912501256</v>
      </c>
    </row>
    <row r="16" spans="1:18" x14ac:dyDescent="0.3">
      <c r="A16" s="24">
        <v>77.182051423502415</v>
      </c>
      <c r="C16" s="25">
        <v>43525</v>
      </c>
      <c r="D16" s="26" t="s">
        <v>72</v>
      </c>
      <c r="E16" s="26" t="s">
        <v>73</v>
      </c>
      <c r="G16" s="27">
        <v>5</v>
      </c>
      <c r="H16" s="27">
        <v>78</v>
      </c>
      <c r="K16" s="25">
        <v>43525</v>
      </c>
      <c r="L16" s="28">
        <v>1022</v>
      </c>
      <c r="M16" s="26">
        <v>203</v>
      </c>
      <c r="N16" s="28" t="s">
        <v>59</v>
      </c>
      <c r="P16" s="29">
        <v>24.230240042459407</v>
      </c>
    </row>
    <row r="17" spans="1:16" x14ac:dyDescent="0.3">
      <c r="A17" s="24">
        <v>77.07925734426658</v>
      </c>
      <c r="C17" s="25">
        <v>43556</v>
      </c>
      <c r="D17" s="26">
        <v>969</v>
      </c>
      <c r="E17" s="26" t="s">
        <v>74</v>
      </c>
      <c r="G17" s="27">
        <v>6</v>
      </c>
      <c r="H17" s="27">
        <v>75</v>
      </c>
      <c r="K17" s="25">
        <v>43556</v>
      </c>
      <c r="L17" s="28">
        <v>969</v>
      </c>
      <c r="M17" s="26">
        <v>208</v>
      </c>
      <c r="N17" s="28" t="s">
        <v>59</v>
      </c>
      <c r="P17" s="29">
        <v>23.669630534776903</v>
      </c>
    </row>
    <row r="18" spans="1:16" x14ac:dyDescent="0.3">
      <c r="A18" s="24">
        <v>75.824626316366945</v>
      </c>
      <c r="C18" s="25">
        <v>43586</v>
      </c>
      <c r="D18" s="26">
        <v>970</v>
      </c>
      <c r="E18" s="26" t="s">
        <v>75</v>
      </c>
      <c r="G18" s="27">
        <v>6</v>
      </c>
      <c r="H18" s="27">
        <v>80</v>
      </c>
      <c r="K18" s="25">
        <v>43586</v>
      </c>
      <c r="L18" s="28">
        <v>970</v>
      </c>
      <c r="M18" s="26">
        <v>197</v>
      </c>
      <c r="N18" s="28" t="s">
        <v>59</v>
      </c>
      <c r="P18" s="29">
        <v>22.751897260291976</v>
      </c>
    </row>
    <row r="19" spans="1:16" x14ac:dyDescent="0.3">
      <c r="A19" s="24">
        <v>78.027951787696878</v>
      </c>
      <c r="C19" s="25">
        <v>43617</v>
      </c>
      <c r="D19" s="26">
        <v>971</v>
      </c>
      <c r="E19" s="26" t="s">
        <v>62</v>
      </c>
      <c r="G19" s="27">
        <v>6</v>
      </c>
      <c r="H19" s="27">
        <v>76</v>
      </c>
      <c r="K19" s="25">
        <v>43617</v>
      </c>
      <c r="L19" s="28">
        <v>971</v>
      </c>
      <c r="M19" s="26">
        <v>207</v>
      </c>
      <c r="N19" s="28" t="s">
        <v>59</v>
      </c>
      <c r="P19" s="29">
        <v>23.331158797357272</v>
      </c>
    </row>
    <row r="20" spans="1:16" x14ac:dyDescent="0.3">
      <c r="A20" s="24">
        <v>78.961601239363546</v>
      </c>
      <c r="C20" s="25">
        <v>43647</v>
      </c>
      <c r="D20" s="26" t="s">
        <v>76</v>
      </c>
      <c r="E20" s="26" t="s">
        <v>67</v>
      </c>
      <c r="G20" s="27">
        <v>7</v>
      </c>
      <c r="H20" s="27">
        <v>78</v>
      </c>
      <c r="K20" s="25">
        <v>43647</v>
      </c>
      <c r="L20" s="28">
        <v>1014</v>
      </c>
      <c r="M20" s="26">
        <v>209</v>
      </c>
      <c r="N20" s="28" t="s">
        <v>59</v>
      </c>
      <c r="P20" s="29">
        <v>23.658783102064962</v>
      </c>
    </row>
    <row r="21" spans="1:16" x14ac:dyDescent="0.3">
      <c r="A21" s="24">
        <v>79.023637532864242</v>
      </c>
      <c r="C21" s="25">
        <v>43678</v>
      </c>
      <c r="D21" s="26">
        <v>954</v>
      </c>
      <c r="E21" s="26" t="s">
        <v>77</v>
      </c>
      <c r="G21" s="27">
        <v>7</v>
      </c>
      <c r="H21" s="27">
        <v>78</v>
      </c>
      <c r="K21" s="25">
        <v>43678</v>
      </c>
      <c r="L21" s="28">
        <v>954</v>
      </c>
      <c r="M21" s="26">
        <v>205</v>
      </c>
      <c r="N21" s="28" t="s">
        <v>59</v>
      </c>
      <c r="P21" s="29">
        <v>23.357260307306731</v>
      </c>
    </row>
    <row r="22" spans="1:16" x14ac:dyDescent="0.3">
      <c r="A22" s="24">
        <v>78.04173287444118</v>
      </c>
      <c r="C22" s="25">
        <v>43709</v>
      </c>
      <c r="D22" s="26" t="s">
        <v>78</v>
      </c>
      <c r="E22" s="26" t="s">
        <v>60</v>
      </c>
      <c r="G22" s="27">
        <v>7</v>
      </c>
      <c r="H22" s="27">
        <v>78</v>
      </c>
      <c r="K22" s="25">
        <v>43709</v>
      </c>
      <c r="L22" s="28">
        <v>1007</v>
      </c>
      <c r="M22" s="26">
        <v>195</v>
      </c>
      <c r="N22" s="28" t="s">
        <v>59</v>
      </c>
      <c r="P22" s="29">
        <v>23.1492589255014</v>
      </c>
    </row>
    <row r="23" spans="1:16" x14ac:dyDescent="0.3">
      <c r="A23" s="24">
        <v>76.272523688911789</v>
      </c>
      <c r="C23" s="25">
        <v>43739</v>
      </c>
      <c r="D23" s="26" t="s">
        <v>79</v>
      </c>
      <c r="E23" s="26" t="s">
        <v>67</v>
      </c>
      <c r="G23" s="27">
        <v>8</v>
      </c>
      <c r="H23" s="27">
        <v>78</v>
      </c>
      <c r="K23" s="25">
        <v>43739</v>
      </c>
      <c r="L23" s="28">
        <v>1200</v>
      </c>
      <c r="M23" s="26">
        <v>209</v>
      </c>
      <c r="N23" s="28" t="s">
        <v>59</v>
      </c>
      <c r="P23" s="29">
        <v>23.19742735649395</v>
      </c>
    </row>
    <row r="24" spans="1:16" x14ac:dyDescent="0.3">
      <c r="A24" s="24">
        <v>77.422086120397864</v>
      </c>
      <c r="C24" s="25">
        <v>43770</v>
      </c>
      <c r="D24" s="26">
        <v>964</v>
      </c>
      <c r="E24" s="26" t="s">
        <v>80</v>
      </c>
      <c r="G24" s="27">
        <v>8</v>
      </c>
      <c r="H24" s="27">
        <v>75</v>
      </c>
      <c r="K24" s="25">
        <v>43770</v>
      </c>
      <c r="L24" s="28">
        <v>964</v>
      </c>
      <c r="M24" s="26">
        <v>200</v>
      </c>
      <c r="N24" s="28" t="s">
        <v>59</v>
      </c>
      <c r="P24" s="29">
        <v>23.558934135575559</v>
      </c>
    </row>
    <row r="25" spans="1:16" x14ac:dyDescent="0.3">
      <c r="A25" s="24">
        <v>78.149555138147036</v>
      </c>
      <c r="C25" s="25">
        <v>43800</v>
      </c>
      <c r="D25" s="26" t="s">
        <v>81</v>
      </c>
      <c r="E25" s="26" t="s">
        <v>80</v>
      </c>
      <c r="G25" s="27">
        <v>8</v>
      </c>
      <c r="H25" s="27">
        <v>75</v>
      </c>
      <c r="K25" s="25">
        <v>43800</v>
      </c>
      <c r="L25" s="28">
        <v>1000</v>
      </c>
      <c r="M25" s="26">
        <v>200</v>
      </c>
      <c r="N25" s="28" t="s">
        <v>59</v>
      </c>
      <c r="P25" s="29">
        <v>21.403359145310809</v>
      </c>
    </row>
    <row r="26" spans="1:16" x14ac:dyDescent="0.3">
      <c r="A26" s="24">
        <v>78.169154254330536</v>
      </c>
      <c r="C26" s="25">
        <v>43831</v>
      </c>
      <c r="D26" s="26" t="s">
        <v>82</v>
      </c>
      <c r="E26" s="26" t="s">
        <v>60</v>
      </c>
      <c r="G26" s="27">
        <v>9</v>
      </c>
      <c r="H26" s="27">
        <v>77</v>
      </c>
      <c r="K26" s="25">
        <v>43831</v>
      </c>
      <c r="L26" s="28">
        <v>1016</v>
      </c>
      <c r="M26" s="26">
        <v>195</v>
      </c>
      <c r="N26" s="28" t="s">
        <v>59</v>
      </c>
      <c r="P26" s="29">
        <v>22.612922701211911</v>
      </c>
    </row>
    <row r="27" spans="1:16" x14ac:dyDescent="0.3">
      <c r="A27" s="24">
        <v>77.832453938654183</v>
      </c>
      <c r="C27" s="25">
        <v>43862</v>
      </c>
      <c r="D27" s="26" t="s">
        <v>69</v>
      </c>
      <c r="E27" s="26" t="s">
        <v>83</v>
      </c>
      <c r="G27" s="27">
        <v>9</v>
      </c>
      <c r="H27" s="27">
        <v>78</v>
      </c>
      <c r="K27" s="25">
        <v>43862</v>
      </c>
      <c r="L27" s="28">
        <v>1017</v>
      </c>
      <c r="M27" s="26">
        <v>199</v>
      </c>
      <c r="N27" s="28" t="s">
        <v>59</v>
      </c>
      <c r="P27" s="29">
        <v>23.54017108626676</v>
      </c>
    </row>
    <row r="28" spans="1:16" x14ac:dyDescent="0.3">
      <c r="A28" s="24">
        <v>77.399811925038208</v>
      </c>
      <c r="C28" s="25">
        <v>43891</v>
      </c>
      <c r="D28" s="26">
        <v>991</v>
      </c>
      <c r="E28" s="26" t="s">
        <v>71</v>
      </c>
      <c r="G28" s="27">
        <v>9</v>
      </c>
      <c r="H28" s="27">
        <v>80</v>
      </c>
      <c r="K28" s="25">
        <v>43891</v>
      </c>
      <c r="L28" s="28">
        <v>991</v>
      </c>
      <c r="M28" s="26">
        <v>196</v>
      </c>
      <c r="N28" s="28" t="s">
        <v>59</v>
      </c>
    </row>
    <row r="29" spans="1:16" x14ac:dyDescent="0.3">
      <c r="A29" s="24">
        <v>78.408065441176362</v>
      </c>
      <c r="C29" s="25">
        <v>43922</v>
      </c>
      <c r="D29" s="26" t="s">
        <v>79</v>
      </c>
      <c r="E29" s="26" t="s">
        <v>66</v>
      </c>
      <c r="G29" s="27">
        <v>10</v>
      </c>
      <c r="H29" s="27">
        <v>80</v>
      </c>
      <c r="K29" s="25">
        <v>43922</v>
      </c>
      <c r="L29" s="28">
        <v>1008</v>
      </c>
      <c r="M29" s="26">
        <v>206</v>
      </c>
      <c r="N29" s="28" t="s">
        <v>59</v>
      </c>
    </row>
    <row r="30" spans="1:16" x14ac:dyDescent="0.3">
      <c r="A30" s="24">
        <v>76.964033515225978</v>
      </c>
      <c r="C30" s="25">
        <v>43952</v>
      </c>
      <c r="D30" s="26" t="s">
        <v>84</v>
      </c>
      <c r="E30" s="26" t="s">
        <v>60</v>
      </c>
      <c r="G30" s="27">
        <v>10</v>
      </c>
      <c r="H30" s="27">
        <v>62</v>
      </c>
      <c r="K30" s="25">
        <v>43952</v>
      </c>
      <c r="L30" s="28">
        <v>1020</v>
      </c>
      <c r="M30" s="26">
        <v>195</v>
      </c>
      <c r="N30" s="28" t="s">
        <v>59</v>
      </c>
    </row>
    <row r="31" spans="1:16" x14ac:dyDescent="0.3">
      <c r="A31" s="24">
        <v>78.023411848326376</v>
      </c>
      <c r="C31" s="25">
        <v>43983</v>
      </c>
      <c r="D31" s="26">
        <v>968</v>
      </c>
      <c r="E31" s="26" t="s">
        <v>66</v>
      </c>
      <c r="G31" s="27">
        <v>10</v>
      </c>
      <c r="H31" s="27">
        <v>75</v>
      </c>
      <c r="K31" s="25">
        <v>43983</v>
      </c>
      <c r="L31" s="28">
        <v>968</v>
      </c>
      <c r="M31" s="26">
        <v>350</v>
      </c>
      <c r="N31" s="28" t="s">
        <v>85</v>
      </c>
    </row>
    <row r="32" spans="1:16" x14ac:dyDescent="0.3">
      <c r="C32" s="25">
        <v>44013</v>
      </c>
      <c r="D32" s="26">
        <v>970</v>
      </c>
      <c r="E32" s="26" t="s">
        <v>75</v>
      </c>
      <c r="G32" s="27">
        <v>11</v>
      </c>
      <c r="H32" s="27">
        <v>76</v>
      </c>
      <c r="K32" s="25">
        <v>44013</v>
      </c>
      <c r="L32" s="28">
        <v>970</v>
      </c>
      <c r="M32" s="26">
        <v>325</v>
      </c>
      <c r="N32" s="28" t="s">
        <v>85</v>
      </c>
    </row>
    <row r="33" spans="3:14" x14ac:dyDescent="0.3">
      <c r="C33" s="25">
        <v>44044</v>
      </c>
      <c r="D33" s="26">
        <v>971</v>
      </c>
      <c r="E33" s="26" t="s">
        <v>62</v>
      </c>
      <c r="G33" s="27">
        <v>11</v>
      </c>
      <c r="H33" s="27">
        <v>79</v>
      </c>
      <c r="K33" s="25">
        <v>44044</v>
      </c>
      <c r="L33" s="28">
        <v>971</v>
      </c>
      <c r="M33" s="26">
        <v>400</v>
      </c>
      <c r="N33" s="28" t="s">
        <v>85</v>
      </c>
    </row>
    <row r="34" spans="3:14" x14ac:dyDescent="0.3">
      <c r="C34" s="25">
        <v>44075</v>
      </c>
      <c r="D34" s="26" t="s">
        <v>76</v>
      </c>
      <c r="E34" s="26" t="s">
        <v>67</v>
      </c>
      <c r="G34" s="27">
        <v>11</v>
      </c>
      <c r="H34" s="27">
        <v>77</v>
      </c>
      <c r="K34" s="25">
        <v>44075</v>
      </c>
      <c r="L34" s="28">
        <v>1014</v>
      </c>
      <c r="M34" s="26">
        <v>402</v>
      </c>
      <c r="N34" s="28" t="s">
        <v>85</v>
      </c>
    </row>
    <row r="35" spans="3:14" x14ac:dyDescent="0.3">
      <c r="C35" s="25">
        <v>44105</v>
      </c>
      <c r="D35" s="26">
        <v>954</v>
      </c>
      <c r="E35" s="26" t="s">
        <v>77</v>
      </c>
      <c r="G35" s="27">
        <v>12</v>
      </c>
      <c r="H35" s="27">
        <v>75</v>
      </c>
      <c r="K35" s="25">
        <v>44105</v>
      </c>
      <c r="L35" s="28">
        <v>954</v>
      </c>
      <c r="M35" s="26">
        <v>350</v>
      </c>
      <c r="N35" s="28" t="s">
        <v>85</v>
      </c>
    </row>
    <row r="36" spans="3:14" x14ac:dyDescent="0.3">
      <c r="C36" s="25">
        <v>44136</v>
      </c>
      <c r="D36" s="26" t="s">
        <v>78</v>
      </c>
      <c r="E36" s="26" t="s">
        <v>60</v>
      </c>
      <c r="G36" s="27">
        <v>12</v>
      </c>
      <c r="H36" s="27">
        <v>79</v>
      </c>
      <c r="K36" s="25">
        <v>44136</v>
      </c>
      <c r="L36" s="28">
        <v>1007</v>
      </c>
      <c r="M36" s="26">
        <v>325</v>
      </c>
      <c r="N36" s="28" t="s">
        <v>85</v>
      </c>
    </row>
    <row r="37" spans="3:14" x14ac:dyDescent="0.3">
      <c r="C37" s="25">
        <v>44166</v>
      </c>
      <c r="D37" s="26" t="s">
        <v>79</v>
      </c>
      <c r="E37" s="26" t="s">
        <v>67</v>
      </c>
      <c r="G37" s="27">
        <v>12</v>
      </c>
      <c r="H37" s="27">
        <v>80</v>
      </c>
      <c r="K37" s="25">
        <v>44166</v>
      </c>
      <c r="L37" s="28">
        <v>1008</v>
      </c>
      <c r="M37" s="26">
        <v>401</v>
      </c>
      <c r="N37" s="28" t="s">
        <v>85</v>
      </c>
    </row>
    <row r="38" spans="3:14" x14ac:dyDescent="0.3">
      <c r="G38" s="27">
        <v>13</v>
      </c>
      <c r="H38" s="27">
        <v>75</v>
      </c>
    </row>
    <row r="39" spans="3:14" x14ac:dyDescent="0.3">
      <c r="G39" s="27">
        <v>13</v>
      </c>
      <c r="H39" s="27">
        <v>75</v>
      </c>
    </row>
    <row r="40" spans="3:14" x14ac:dyDescent="0.3">
      <c r="G40" s="27">
        <v>13</v>
      </c>
      <c r="H40" s="27">
        <v>79</v>
      </c>
    </row>
    <row r="41" spans="3:14" x14ac:dyDescent="0.3">
      <c r="G41" s="27">
        <v>14</v>
      </c>
      <c r="H41" s="27">
        <v>78</v>
      </c>
    </row>
    <row r="42" spans="3:14" x14ac:dyDescent="0.3">
      <c r="G42" s="27">
        <v>14</v>
      </c>
      <c r="H42" s="27">
        <v>77</v>
      </c>
    </row>
    <row r="43" spans="3:14" x14ac:dyDescent="0.3">
      <c r="G43" s="27">
        <v>14</v>
      </c>
      <c r="H43" s="27">
        <v>78</v>
      </c>
    </row>
    <row r="44" spans="3:14" x14ac:dyDescent="0.3">
      <c r="G44" s="27">
        <v>15</v>
      </c>
      <c r="H44" s="27">
        <v>76</v>
      </c>
    </row>
    <row r="45" spans="3:14" x14ac:dyDescent="0.3">
      <c r="G45" s="27">
        <v>15</v>
      </c>
      <c r="H45" s="27">
        <v>76</v>
      </c>
    </row>
    <row r="46" spans="3:14" x14ac:dyDescent="0.3">
      <c r="G46" s="27">
        <v>15</v>
      </c>
      <c r="H46" s="27">
        <v>80</v>
      </c>
    </row>
    <row r="47" spans="3:14" x14ac:dyDescent="0.3">
      <c r="G47" s="27">
        <v>16</v>
      </c>
      <c r="H47" s="27">
        <v>75</v>
      </c>
    </row>
    <row r="48" spans="3:14" x14ac:dyDescent="0.3">
      <c r="G48" s="27">
        <v>16</v>
      </c>
      <c r="H48" s="27">
        <v>79</v>
      </c>
    </row>
    <row r="49" spans="7:8" x14ac:dyDescent="0.3">
      <c r="G49" s="27">
        <v>16</v>
      </c>
      <c r="H49" s="27">
        <v>80</v>
      </c>
    </row>
    <row r="50" spans="7:8" x14ac:dyDescent="0.3">
      <c r="G50" s="27">
        <v>17</v>
      </c>
      <c r="H50" s="27">
        <v>79</v>
      </c>
    </row>
    <row r="51" spans="7:8" x14ac:dyDescent="0.3">
      <c r="G51" s="27">
        <v>17</v>
      </c>
      <c r="H51" s="27">
        <v>80</v>
      </c>
    </row>
    <row r="52" spans="7:8" x14ac:dyDescent="0.3">
      <c r="G52" s="27">
        <v>17</v>
      </c>
      <c r="H52" s="27">
        <v>80</v>
      </c>
    </row>
    <row r="53" spans="7:8" x14ac:dyDescent="0.3">
      <c r="G53" s="27">
        <v>18</v>
      </c>
      <c r="H53" s="27">
        <v>76</v>
      </c>
    </row>
    <row r="54" spans="7:8" x14ac:dyDescent="0.3">
      <c r="G54" s="27">
        <v>18</v>
      </c>
      <c r="H54" s="27">
        <v>80</v>
      </c>
    </row>
    <row r="55" spans="7:8" x14ac:dyDescent="0.3">
      <c r="G55" s="27">
        <v>18</v>
      </c>
      <c r="H55" s="27">
        <v>75</v>
      </c>
    </row>
    <row r="56" spans="7:8" x14ac:dyDescent="0.3">
      <c r="G56" s="27">
        <v>19</v>
      </c>
      <c r="H56" s="27">
        <v>75</v>
      </c>
    </row>
    <row r="57" spans="7:8" x14ac:dyDescent="0.3">
      <c r="G57" s="27">
        <v>19</v>
      </c>
      <c r="H57" s="27">
        <v>78</v>
      </c>
    </row>
    <row r="58" spans="7:8" x14ac:dyDescent="0.3">
      <c r="G58" s="27">
        <v>19</v>
      </c>
      <c r="H58" s="27">
        <v>79</v>
      </c>
    </row>
    <row r="59" spans="7:8" x14ac:dyDescent="0.3">
      <c r="G59" s="27">
        <v>20</v>
      </c>
      <c r="H59" s="27">
        <v>76</v>
      </c>
    </row>
    <row r="60" spans="7:8" x14ac:dyDescent="0.3">
      <c r="G60" s="27">
        <v>20</v>
      </c>
      <c r="H60" s="27">
        <v>76</v>
      </c>
    </row>
    <row r="61" spans="7:8" x14ac:dyDescent="0.3">
      <c r="G61" s="27">
        <v>20</v>
      </c>
      <c r="H61" s="27">
        <v>76</v>
      </c>
    </row>
    <row r="62" spans="7:8" x14ac:dyDescent="0.3">
      <c r="G62" s="27">
        <v>21</v>
      </c>
      <c r="H62" s="27">
        <v>80</v>
      </c>
    </row>
    <row r="63" spans="7:8" x14ac:dyDescent="0.3">
      <c r="G63" s="27">
        <v>21</v>
      </c>
      <c r="H63" s="27">
        <v>76</v>
      </c>
    </row>
    <row r="64" spans="7:8" x14ac:dyDescent="0.3">
      <c r="G64" s="27">
        <v>21</v>
      </c>
      <c r="H64" s="27">
        <v>77</v>
      </c>
    </row>
    <row r="65" spans="7:8" x14ac:dyDescent="0.3">
      <c r="G65" s="27">
        <v>22</v>
      </c>
      <c r="H65" s="27">
        <v>77</v>
      </c>
    </row>
    <row r="66" spans="7:8" x14ac:dyDescent="0.3">
      <c r="G66" s="27">
        <v>22</v>
      </c>
      <c r="H66" s="27">
        <v>76</v>
      </c>
    </row>
    <row r="67" spans="7:8" x14ac:dyDescent="0.3">
      <c r="G67" s="27">
        <v>22</v>
      </c>
      <c r="H67" s="27">
        <v>77</v>
      </c>
    </row>
    <row r="68" spans="7:8" x14ac:dyDescent="0.3">
      <c r="G68" s="27">
        <v>23</v>
      </c>
      <c r="H68" s="27">
        <v>76</v>
      </c>
    </row>
    <row r="69" spans="7:8" x14ac:dyDescent="0.3">
      <c r="G69" s="27">
        <v>23</v>
      </c>
      <c r="H69" s="27">
        <v>75</v>
      </c>
    </row>
    <row r="70" spans="7:8" x14ac:dyDescent="0.3">
      <c r="G70" s="27">
        <v>23</v>
      </c>
      <c r="H70" s="27">
        <v>80</v>
      </c>
    </row>
    <row r="71" spans="7:8" x14ac:dyDescent="0.3">
      <c r="G71" s="27">
        <v>24</v>
      </c>
      <c r="H71" s="27">
        <v>78</v>
      </c>
    </row>
    <row r="72" spans="7:8" x14ac:dyDescent="0.3">
      <c r="G72" s="27">
        <v>24</v>
      </c>
      <c r="H72" s="27">
        <v>76</v>
      </c>
    </row>
    <row r="73" spans="7:8" x14ac:dyDescent="0.3">
      <c r="G73" s="27">
        <v>24</v>
      </c>
      <c r="H73" s="27">
        <v>79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"/>
  <sheetViews>
    <sheetView workbookViewId="0"/>
  </sheetViews>
  <sheetFormatPr defaultRowHeight="14.4" x14ac:dyDescent="0.3"/>
  <cols>
    <col min="1" max="8" width="9.33203125"/>
    <col min="9" max="9" width="17.5546875" bestFit="1" customWidth="1"/>
    <col min="10" max="10" width="31.44140625" bestFit="1" customWidth="1"/>
    <col min="11" max="11" width="10.33203125" customWidth="1"/>
  </cols>
  <sheetData>
    <row r="1" spans="1:12" x14ac:dyDescent="0.3">
      <c r="A1" s="54" t="s">
        <v>86</v>
      </c>
      <c r="B1" s="54" t="s">
        <v>87</v>
      </c>
      <c r="C1" s="54" t="s">
        <v>88</v>
      </c>
      <c r="D1" s="54" t="s">
        <v>89</v>
      </c>
      <c r="E1" s="54" t="s">
        <v>90</v>
      </c>
      <c r="F1" s="54" t="s">
        <v>91</v>
      </c>
      <c r="G1" s="54" t="s">
        <v>92</v>
      </c>
      <c r="H1" s="54" t="s">
        <v>93</v>
      </c>
      <c r="I1" s="54" t="s">
        <v>94</v>
      </c>
      <c r="J1" s="54" t="s">
        <v>95</v>
      </c>
      <c r="K1" s="18"/>
      <c r="L1" s="18"/>
    </row>
    <row r="2" spans="1:12" x14ac:dyDescent="0.3">
      <c r="A2" s="34">
        <v>2</v>
      </c>
      <c r="B2" s="34">
        <v>1</v>
      </c>
      <c r="C2" s="34">
        <v>1</v>
      </c>
      <c r="D2" s="34">
        <v>1</v>
      </c>
      <c r="E2" s="34">
        <v>200</v>
      </c>
      <c r="F2" s="34">
        <v>30</v>
      </c>
      <c r="G2" s="34">
        <v>100</v>
      </c>
      <c r="H2" s="34" t="s">
        <v>96</v>
      </c>
      <c r="I2" s="34">
        <v>1090</v>
      </c>
      <c r="J2" s="5">
        <f>I2+0.05*E2*F2</f>
        <v>1390</v>
      </c>
    </row>
    <row r="3" spans="1:12" x14ac:dyDescent="0.3">
      <c r="A3" s="34">
        <v>19</v>
      </c>
      <c r="B3" s="34">
        <v>2</v>
      </c>
      <c r="C3" s="34">
        <v>1</v>
      </c>
      <c r="D3" s="34">
        <v>1</v>
      </c>
      <c r="E3" s="34">
        <v>180</v>
      </c>
      <c r="F3" s="34">
        <v>50</v>
      </c>
      <c r="G3" s="34">
        <v>100</v>
      </c>
      <c r="H3" s="34" t="s">
        <v>96</v>
      </c>
      <c r="I3" s="34">
        <v>929</v>
      </c>
      <c r="J3" s="5">
        <f t="shared" ref="J3:J33" si="0">I3+0.05*E3*F3</f>
        <v>1379</v>
      </c>
    </row>
    <row r="4" spans="1:12" x14ac:dyDescent="0.3">
      <c r="A4" s="34">
        <v>15</v>
      </c>
      <c r="B4" s="34">
        <v>3</v>
      </c>
      <c r="C4" s="34">
        <v>1</v>
      </c>
      <c r="D4" s="34">
        <v>1</v>
      </c>
      <c r="E4" s="34">
        <v>180</v>
      </c>
      <c r="F4" s="34">
        <v>50</v>
      </c>
      <c r="G4" s="34">
        <v>200</v>
      </c>
      <c r="H4" s="34" t="s">
        <v>97</v>
      </c>
      <c r="I4" s="34">
        <v>1010</v>
      </c>
      <c r="J4" s="5">
        <f t="shared" si="0"/>
        <v>1460</v>
      </c>
    </row>
    <row r="5" spans="1:12" x14ac:dyDescent="0.3">
      <c r="A5" s="34">
        <v>20</v>
      </c>
      <c r="B5" s="34">
        <v>4</v>
      </c>
      <c r="C5" s="34">
        <v>1</v>
      </c>
      <c r="D5" s="34">
        <v>1</v>
      </c>
      <c r="E5" s="34">
        <v>200</v>
      </c>
      <c r="F5" s="34">
        <v>50</v>
      </c>
      <c r="G5" s="34">
        <v>100</v>
      </c>
      <c r="H5" s="34" t="s">
        <v>96</v>
      </c>
      <c r="I5" s="34">
        <v>1027</v>
      </c>
      <c r="J5" s="5">
        <f t="shared" si="0"/>
        <v>1527</v>
      </c>
    </row>
    <row r="6" spans="1:12" x14ac:dyDescent="0.3">
      <c r="A6" s="34">
        <v>32</v>
      </c>
      <c r="B6" s="34">
        <v>5</v>
      </c>
      <c r="C6" s="34">
        <v>1</v>
      </c>
      <c r="D6" s="34">
        <v>1</v>
      </c>
      <c r="E6" s="34">
        <v>200</v>
      </c>
      <c r="F6" s="34">
        <v>50</v>
      </c>
      <c r="G6" s="34">
        <v>200</v>
      </c>
      <c r="H6" s="34" t="s">
        <v>97</v>
      </c>
      <c r="I6" s="34">
        <v>1122</v>
      </c>
      <c r="J6" s="5">
        <f t="shared" si="0"/>
        <v>1622</v>
      </c>
    </row>
    <row r="7" spans="1:12" x14ac:dyDescent="0.3">
      <c r="A7" s="34">
        <v>5</v>
      </c>
      <c r="B7" s="34">
        <v>6</v>
      </c>
      <c r="C7" s="34">
        <v>1</v>
      </c>
      <c r="D7" s="34">
        <v>1</v>
      </c>
      <c r="E7" s="34">
        <v>180</v>
      </c>
      <c r="F7" s="34">
        <v>30</v>
      </c>
      <c r="G7" s="34">
        <v>200</v>
      </c>
      <c r="H7" s="34" t="s">
        <v>96</v>
      </c>
      <c r="I7" s="34">
        <v>1070</v>
      </c>
      <c r="J7" s="5">
        <f t="shared" si="0"/>
        <v>1340</v>
      </c>
    </row>
    <row r="8" spans="1:12" x14ac:dyDescent="0.3">
      <c r="A8" s="34">
        <v>4</v>
      </c>
      <c r="B8" s="34">
        <v>7</v>
      </c>
      <c r="C8" s="34">
        <v>1</v>
      </c>
      <c r="D8" s="34">
        <v>1</v>
      </c>
      <c r="E8" s="34">
        <v>200</v>
      </c>
      <c r="F8" s="34">
        <v>50</v>
      </c>
      <c r="G8" s="34">
        <v>100</v>
      </c>
      <c r="H8" s="34" t="s">
        <v>96</v>
      </c>
      <c r="I8" s="34">
        <v>1030</v>
      </c>
      <c r="J8" s="5">
        <f t="shared" si="0"/>
        <v>1530</v>
      </c>
    </row>
    <row r="9" spans="1:12" x14ac:dyDescent="0.3">
      <c r="A9" s="34">
        <v>21</v>
      </c>
      <c r="B9" s="34">
        <v>8</v>
      </c>
      <c r="C9" s="34">
        <v>1</v>
      </c>
      <c r="D9" s="34">
        <v>1</v>
      </c>
      <c r="E9" s="34">
        <v>180</v>
      </c>
      <c r="F9" s="34">
        <v>30</v>
      </c>
      <c r="G9" s="34">
        <v>200</v>
      </c>
      <c r="H9" s="34" t="s">
        <v>96</v>
      </c>
      <c r="I9" s="34">
        <v>1081</v>
      </c>
      <c r="J9" s="5">
        <f t="shared" si="0"/>
        <v>1351</v>
      </c>
    </row>
    <row r="10" spans="1:12" x14ac:dyDescent="0.3">
      <c r="A10" s="34">
        <v>17</v>
      </c>
      <c r="B10" s="34">
        <v>9</v>
      </c>
      <c r="C10" s="34">
        <v>1</v>
      </c>
      <c r="D10" s="34">
        <v>1</v>
      </c>
      <c r="E10" s="34">
        <v>180</v>
      </c>
      <c r="F10" s="34">
        <v>30</v>
      </c>
      <c r="G10" s="34">
        <v>100</v>
      </c>
      <c r="H10" s="34" t="s">
        <v>96</v>
      </c>
      <c r="I10" s="34">
        <v>987</v>
      </c>
      <c r="J10" s="5">
        <f t="shared" si="0"/>
        <v>1257</v>
      </c>
    </row>
    <row r="11" spans="1:12" x14ac:dyDescent="0.3">
      <c r="A11" s="34">
        <v>31</v>
      </c>
      <c r="B11" s="34">
        <v>10</v>
      </c>
      <c r="C11" s="34">
        <v>1</v>
      </c>
      <c r="D11" s="34">
        <v>1</v>
      </c>
      <c r="E11" s="34">
        <v>180</v>
      </c>
      <c r="F11" s="34">
        <v>50</v>
      </c>
      <c r="G11" s="34">
        <v>200</v>
      </c>
      <c r="H11" s="34" t="s">
        <v>97</v>
      </c>
      <c r="I11" s="34">
        <v>1024</v>
      </c>
      <c r="J11" s="5">
        <f t="shared" si="0"/>
        <v>1474</v>
      </c>
    </row>
    <row r="12" spans="1:12" x14ac:dyDescent="0.3">
      <c r="A12" s="34">
        <v>24</v>
      </c>
      <c r="B12" s="34">
        <v>11</v>
      </c>
      <c r="C12" s="34">
        <v>1</v>
      </c>
      <c r="D12" s="34">
        <v>1</v>
      </c>
      <c r="E12" s="34">
        <v>200</v>
      </c>
      <c r="F12" s="34">
        <v>50</v>
      </c>
      <c r="G12" s="34">
        <v>200</v>
      </c>
      <c r="H12" s="34" t="s">
        <v>96</v>
      </c>
      <c r="I12" s="34">
        <v>1122</v>
      </c>
      <c r="J12" s="5">
        <f t="shared" si="0"/>
        <v>1622</v>
      </c>
    </row>
    <row r="13" spans="1:12" x14ac:dyDescent="0.3">
      <c r="A13" s="34">
        <v>1</v>
      </c>
      <c r="B13" s="34">
        <v>12</v>
      </c>
      <c r="C13" s="34">
        <v>1</v>
      </c>
      <c r="D13" s="34">
        <v>1</v>
      </c>
      <c r="E13" s="34">
        <v>180</v>
      </c>
      <c r="F13" s="34">
        <v>30</v>
      </c>
      <c r="G13" s="34">
        <v>100</v>
      </c>
      <c r="H13" s="34" t="s">
        <v>96</v>
      </c>
      <c r="I13" s="34">
        <v>990</v>
      </c>
      <c r="J13" s="5">
        <f t="shared" si="0"/>
        <v>1260</v>
      </c>
    </row>
    <row r="14" spans="1:12" x14ac:dyDescent="0.3">
      <c r="A14" s="34">
        <v>22</v>
      </c>
      <c r="B14" s="34">
        <v>13</v>
      </c>
      <c r="C14" s="34">
        <v>1</v>
      </c>
      <c r="D14" s="34">
        <v>1</v>
      </c>
      <c r="E14" s="34">
        <v>200</v>
      </c>
      <c r="F14" s="34">
        <v>30</v>
      </c>
      <c r="G14" s="34">
        <v>200</v>
      </c>
      <c r="H14" s="34" t="s">
        <v>96</v>
      </c>
      <c r="I14" s="34">
        <v>1181</v>
      </c>
      <c r="J14" s="5">
        <f t="shared" si="0"/>
        <v>1481</v>
      </c>
    </row>
    <row r="15" spans="1:12" x14ac:dyDescent="0.3">
      <c r="A15" s="34">
        <v>6</v>
      </c>
      <c r="B15" s="34">
        <v>14</v>
      </c>
      <c r="C15" s="34">
        <v>1</v>
      </c>
      <c r="D15" s="34">
        <v>1</v>
      </c>
      <c r="E15" s="34">
        <v>200</v>
      </c>
      <c r="F15" s="34">
        <v>30</v>
      </c>
      <c r="G15" s="34">
        <v>200</v>
      </c>
      <c r="H15" s="34" t="s">
        <v>96</v>
      </c>
      <c r="I15" s="34">
        <v>1170</v>
      </c>
      <c r="J15" s="5">
        <f t="shared" si="0"/>
        <v>1470</v>
      </c>
    </row>
    <row r="16" spans="1:12" x14ac:dyDescent="0.3">
      <c r="A16" s="34">
        <v>29</v>
      </c>
      <c r="B16" s="34">
        <v>15</v>
      </c>
      <c r="C16" s="34">
        <v>1</v>
      </c>
      <c r="D16" s="34">
        <v>1</v>
      </c>
      <c r="E16" s="34">
        <v>180</v>
      </c>
      <c r="F16" s="34">
        <v>30</v>
      </c>
      <c r="G16" s="34">
        <v>200</v>
      </c>
      <c r="H16" s="34" t="s">
        <v>97</v>
      </c>
      <c r="I16" s="34">
        <v>1082</v>
      </c>
      <c r="J16" s="5">
        <f t="shared" si="0"/>
        <v>1352</v>
      </c>
    </row>
    <row r="17" spans="1:10" x14ac:dyDescent="0.3">
      <c r="A17" s="34">
        <v>14</v>
      </c>
      <c r="B17" s="34">
        <v>16</v>
      </c>
      <c r="C17" s="34">
        <v>1</v>
      </c>
      <c r="D17" s="34">
        <v>1</v>
      </c>
      <c r="E17" s="34">
        <v>200</v>
      </c>
      <c r="F17" s="34">
        <v>30</v>
      </c>
      <c r="G17" s="34">
        <v>200</v>
      </c>
      <c r="H17" s="34" t="s">
        <v>97</v>
      </c>
      <c r="I17" s="34">
        <v>1170</v>
      </c>
      <c r="J17" s="5">
        <f t="shared" si="0"/>
        <v>1470</v>
      </c>
    </row>
    <row r="18" spans="1:10" x14ac:dyDescent="0.3">
      <c r="A18" s="34">
        <v>12</v>
      </c>
      <c r="B18" s="34">
        <v>17</v>
      </c>
      <c r="C18" s="34">
        <v>1</v>
      </c>
      <c r="D18" s="34">
        <v>1</v>
      </c>
      <c r="E18" s="34">
        <v>200</v>
      </c>
      <c r="F18" s="34">
        <v>50</v>
      </c>
      <c r="G18" s="34">
        <v>100</v>
      </c>
      <c r="H18" s="34" t="s">
        <v>97</v>
      </c>
      <c r="I18" s="34">
        <v>1030</v>
      </c>
      <c r="J18" s="5">
        <f t="shared" si="0"/>
        <v>1530</v>
      </c>
    </row>
    <row r="19" spans="1:10" x14ac:dyDescent="0.3">
      <c r="A19" s="34">
        <v>10</v>
      </c>
      <c r="B19" s="34">
        <v>18</v>
      </c>
      <c r="C19" s="34">
        <v>1</v>
      </c>
      <c r="D19" s="34">
        <v>1</v>
      </c>
      <c r="E19" s="34">
        <v>200</v>
      </c>
      <c r="F19" s="34">
        <v>30</v>
      </c>
      <c r="G19" s="34">
        <v>100</v>
      </c>
      <c r="H19" s="34" t="s">
        <v>97</v>
      </c>
      <c r="I19" s="34">
        <v>1090</v>
      </c>
      <c r="J19" s="5">
        <f t="shared" si="0"/>
        <v>1390</v>
      </c>
    </row>
    <row r="20" spans="1:10" x14ac:dyDescent="0.3">
      <c r="A20" s="34">
        <v>18</v>
      </c>
      <c r="B20" s="34">
        <v>19</v>
      </c>
      <c r="C20" s="34">
        <v>1</v>
      </c>
      <c r="D20" s="34">
        <v>1</v>
      </c>
      <c r="E20" s="34">
        <v>200</v>
      </c>
      <c r="F20" s="34">
        <v>30</v>
      </c>
      <c r="G20" s="34">
        <v>100</v>
      </c>
      <c r="H20" s="34" t="s">
        <v>96</v>
      </c>
      <c r="I20" s="34">
        <v>1085</v>
      </c>
      <c r="J20" s="5">
        <f t="shared" si="0"/>
        <v>1385</v>
      </c>
    </row>
    <row r="21" spans="1:10" x14ac:dyDescent="0.3">
      <c r="A21" s="34">
        <v>30</v>
      </c>
      <c r="B21" s="34">
        <v>20</v>
      </c>
      <c r="C21" s="34">
        <v>1</v>
      </c>
      <c r="D21" s="34">
        <v>1</v>
      </c>
      <c r="E21" s="34">
        <v>200</v>
      </c>
      <c r="F21" s="34">
        <v>30</v>
      </c>
      <c r="G21" s="34">
        <v>200</v>
      </c>
      <c r="H21" s="34" t="s">
        <v>97</v>
      </c>
      <c r="I21" s="34">
        <v>1181</v>
      </c>
      <c r="J21" s="5">
        <f t="shared" si="0"/>
        <v>1481</v>
      </c>
    </row>
    <row r="22" spans="1:10" x14ac:dyDescent="0.3">
      <c r="A22" s="34">
        <v>11</v>
      </c>
      <c r="B22" s="34">
        <v>21</v>
      </c>
      <c r="C22" s="34">
        <v>1</v>
      </c>
      <c r="D22" s="34">
        <v>1</v>
      </c>
      <c r="E22" s="34">
        <v>180</v>
      </c>
      <c r="F22" s="34">
        <v>50</v>
      </c>
      <c r="G22" s="34">
        <v>100</v>
      </c>
      <c r="H22" s="34" t="s">
        <v>97</v>
      </c>
      <c r="I22" s="34">
        <v>930</v>
      </c>
      <c r="J22" s="5">
        <f t="shared" si="0"/>
        <v>1380</v>
      </c>
    </row>
    <row r="23" spans="1:10" x14ac:dyDescent="0.3">
      <c r="A23" s="34">
        <v>28</v>
      </c>
      <c r="B23" s="34">
        <v>22</v>
      </c>
      <c r="C23" s="34">
        <v>1</v>
      </c>
      <c r="D23" s="34">
        <v>1</v>
      </c>
      <c r="E23" s="34">
        <v>200</v>
      </c>
      <c r="F23" s="34">
        <v>50</v>
      </c>
      <c r="G23" s="34">
        <v>100</v>
      </c>
      <c r="H23" s="34" t="s">
        <v>97</v>
      </c>
      <c r="I23" s="34">
        <v>1026</v>
      </c>
      <c r="J23" s="5">
        <f t="shared" si="0"/>
        <v>1526</v>
      </c>
    </row>
    <row r="24" spans="1:10" x14ac:dyDescent="0.3">
      <c r="A24" s="34">
        <v>25</v>
      </c>
      <c r="B24" s="34">
        <v>23</v>
      </c>
      <c r="C24" s="34">
        <v>1</v>
      </c>
      <c r="D24" s="34">
        <v>1</v>
      </c>
      <c r="E24" s="34">
        <v>180</v>
      </c>
      <c r="F24" s="34">
        <v>30</v>
      </c>
      <c r="G24" s="34">
        <v>100</v>
      </c>
      <c r="H24" s="34" t="s">
        <v>97</v>
      </c>
      <c r="I24" s="34">
        <v>988</v>
      </c>
      <c r="J24" s="5">
        <f t="shared" si="0"/>
        <v>1258</v>
      </c>
    </row>
    <row r="25" spans="1:10" x14ac:dyDescent="0.3">
      <c r="A25" s="34">
        <v>27</v>
      </c>
      <c r="B25" s="34">
        <v>24</v>
      </c>
      <c r="C25" s="34">
        <v>1</v>
      </c>
      <c r="D25" s="34">
        <v>1</v>
      </c>
      <c r="E25" s="34">
        <v>180</v>
      </c>
      <c r="F25" s="34">
        <v>50</v>
      </c>
      <c r="G25" s="34">
        <v>100</v>
      </c>
      <c r="H25" s="34" t="s">
        <v>97</v>
      </c>
      <c r="I25" s="34">
        <v>928</v>
      </c>
      <c r="J25" s="5">
        <f t="shared" si="0"/>
        <v>1378</v>
      </c>
    </row>
    <row r="26" spans="1:10" x14ac:dyDescent="0.3">
      <c r="A26" s="34">
        <v>16</v>
      </c>
      <c r="B26" s="34">
        <v>25</v>
      </c>
      <c r="C26" s="34">
        <v>1</v>
      </c>
      <c r="D26" s="34">
        <v>1</v>
      </c>
      <c r="E26" s="34">
        <v>200</v>
      </c>
      <c r="F26" s="34">
        <v>50</v>
      </c>
      <c r="G26" s="34">
        <v>200</v>
      </c>
      <c r="H26" s="34" t="s">
        <v>97</v>
      </c>
      <c r="I26" s="34">
        <v>1110</v>
      </c>
      <c r="J26" s="5">
        <f t="shared" si="0"/>
        <v>1610</v>
      </c>
    </row>
    <row r="27" spans="1:10" x14ac:dyDescent="0.3">
      <c r="A27" s="34">
        <v>13</v>
      </c>
      <c r="B27" s="34">
        <v>26</v>
      </c>
      <c r="C27" s="34">
        <v>1</v>
      </c>
      <c r="D27" s="34">
        <v>1</v>
      </c>
      <c r="E27" s="34">
        <v>180</v>
      </c>
      <c r="F27" s="34">
        <v>30</v>
      </c>
      <c r="G27" s="34">
        <v>200</v>
      </c>
      <c r="H27" s="34" t="s">
        <v>97</v>
      </c>
      <c r="I27" s="34">
        <v>1070</v>
      </c>
      <c r="J27" s="5">
        <f t="shared" si="0"/>
        <v>1340</v>
      </c>
    </row>
    <row r="28" spans="1:10" x14ac:dyDescent="0.3">
      <c r="A28" s="34">
        <v>9</v>
      </c>
      <c r="B28" s="34">
        <v>27</v>
      </c>
      <c r="C28" s="34">
        <v>1</v>
      </c>
      <c r="D28" s="34">
        <v>1</v>
      </c>
      <c r="E28" s="34">
        <v>180</v>
      </c>
      <c r="F28" s="34">
        <v>30</v>
      </c>
      <c r="G28" s="34">
        <v>100</v>
      </c>
      <c r="H28" s="34" t="s">
        <v>97</v>
      </c>
      <c r="I28" s="34">
        <v>990</v>
      </c>
      <c r="J28" s="5">
        <f t="shared" si="0"/>
        <v>1260</v>
      </c>
    </row>
    <row r="29" spans="1:10" x14ac:dyDescent="0.3">
      <c r="A29" s="34">
        <v>23</v>
      </c>
      <c r="B29" s="34">
        <v>28</v>
      </c>
      <c r="C29" s="34">
        <v>1</v>
      </c>
      <c r="D29" s="34">
        <v>1</v>
      </c>
      <c r="E29" s="34">
        <v>180</v>
      </c>
      <c r="F29" s="34">
        <v>50</v>
      </c>
      <c r="G29" s="34">
        <v>200</v>
      </c>
      <c r="H29" s="34" t="s">
        <v>96</v>
      </c>
      <c r="I29" s="34">
        <v>1024</v>
      </c>
      <c r="J29" s="5">
        <f t="shared" si="0"/>
        <v>1474</v>
      </c>
    </row>
    <row r="30" spans="1:10" x14ac:dyDescent="0.3">
      <c r="A30" s="34">
        <v>3</v>
      </c>
      <c r="B30" s="34">
        <v>29</v>
      </c>
      <c r="C30" s="34">
        <v>1</v>
      </c>
      <c r="D30" s="34">
        <v>1</v>
      </c>
      <c r="E30" s="34">
        <v>180</v>
      </c>
      <c r="F30" s="34">
        <v>50</v>
      </c>
      <c r="G30" s="34">
        <v>100</v>
      </c>
      <c r="H30" s="34" t="s">
        <v>96</v>
      </c>
      <c r="I30" s="34">
        <v>930</v>
      </c>
      <c r="J30" s="5">
        <f t="shared" si="0"/>
        <v>1380</v>
      </c>
    </row>
    <row r="31" spans="1:10" x14ac:dyDescent="0.3">
      <c r="A31" s="34">
        <v>8</v>
      </c>
      <c r="B31" s="34">
        <v>30</v>
      </c>
      <c r="C31" s="34">
        <v>1</v>
      </c>
      <c r="D31" s="34">
        <v>1</v>
      </c>
      <c r="E31" s="34">
        <v>200</v>
      </c>
      <c r="F31" s="34">
        <v>50</v>
      </c>
      <c r="G31" s="34">
        <v>200</v>
      </c>
      <c r="H31" s="34" t="s">
        <v>96</v>
      </c>
      <c r="I31" s="34">
        <v>1110</v>
      </c>
      <c r="J31" s="5">
        <f t="shared" si="0"/>
        <v>1610</v>
      </c>
    </row>
    <row r="32" spans="1:10" x14ac:dyDescent="0.3">
      <c r="A32" s="34">
        <v>7</v>
      </c>
      <c r="B32" s="34">
        <v>31</v>
      </c>
      <c r="C32" s="34">
        <v>1</v>
      </c>
      <c r="D32" s="34">
        <v>1</v>
      </c>
      <c r="E32" s="34">
        <v>180</v>
      </c>
      <c r="F32" s="34">
        <v>50</v>
      </c>
      <c r="G32" s="34">
        <v>200</v>
      </c>
      <c r="H32" s="34" t="s">
        <v>96</v>
      </c>
      <c r="I32" s="34">
        <v>1010</v>
      </c>
      <c r="J32" s="5">
        <f t="shared" si="0"/>
        <v>1460</v>
      </c>
    </row>
    <row r="33" spans="1:10" x14ac:dyDescent="0.3">
      <c r="A33" s="34">
        <v>26</v>
      </c>
      <c r="B33" s="34">
        <v>32</v>
      </c>
      <c r="C33" s="34">
        <v>1</v>
      </c>
      <c r="D33" s="34">
        <v>1</v>
      </c>
      <c r="E33" s="34">
        <v>200</v>
      </c>
      <c r="F33" s="34">
        <v>30</v>
      </c>
      <c r="G33" s="34">
        <v>100</v>
      </c>
      <c r="H33" s="34" t="s">
        <v>97</v>
      </c>
      <c r="I33" s="34">
        <v>1085</v>
      </c>
      <c r="J33" s="5">
        <f t="shared" si="0"/>
        <v>1385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1"/>
  <sheetViews>
    <sheetView workbookViewId="0"/>
  </sheetViews>
  <sheetFormatPr defaultRowHeight="14.4" x14ac:dyDescent="0.3"/>
  <cols>
    <col min="1" max="2" width="9.33203125" style="2"/>
    <col min="3" max="3" width="12.33203125" style="2" bestFit="1" customWidth="1"/>
  </cols>
  <sheetData>
    <row r="1" spans="1:6" x14ac:dyDescent="0.3">
      <c r="A1" s="34" t="s">
        <v>98</v>
      </c>
      <c r="B1" s="5" t="s">
        <v>99</v>
      </c>
      <c r="C1" s="5" t="s">
        <v>20</v>
      </c>
    </row>
    <row r="2" spans="1:6" x14ac:dyDescent="0.3">
      <c r="A2" s="34">
        <v>1</v>
      </c>
      <c r="B2" s="34" t="s">
        <v>100</v>
      </c>
      <c r="C2" s="34">
        <v>82.29</v>
      </c>
      <c r="F2" s="6"/>
    </row>
    <row r="3" spans="1:6" x14ac:dyDescent="0.3">
      <c r="A3" s="34">
        <v>1</v>
      </c>
      <c r="B3" s="34" t="s">
        <v>100</v>
      </c>
      <c r="C3" s="34">
        <v>82.41</v>
      </c>
      <c r="F3" s="6"/>
    </row>
    <row r="4" spans="1:6" x14ac:dyDescent="0.3">
      <c r="A4" s="34">
        <v>1</v>
      </c>
      <c r="B4" s="34" t="s">
        <v>100</v>
      </c>
      <c r="C4" s="34">
        <v>82.64</v>
      </c>
      <c r="F4" s="6"/>
    </row>
    <row r="5" spans="1:6" x14ac:dyDescent="0.3">
      <c r="A5" s="34">
        <v>2</v>
      </c>
      <c r="B5" s="34" t="s">
        <v>100</v>
      </c>
      <c r="C5" s="34">
        <v>81.44</v>
      </c>
      <c r="F5" s="6"/>
    </row>
    <row r="6" spans="1:6" x14ac:dyDescent="0.3">
      <c r="A6" s="34">
        <v>2</v>
      </c>
      <c r="B6" s="34" t="s">
        <v>100</v>
      </c>
      <c r="C6" s="34">
        <v>81.319999999999993</v>
      </c>
      <c r="F6" s="6"/>
    </row>
    <row r="7" spans="1:6" x14ac:dyDescent="0.3">
      <c r="A7" s="34">
        <v>2</v>
      </c>
      <c r="B7" s="34" t="s">
        <v>100</v>
      </c>
      <c r="C7" s="34">
        <v>81.42</v>
      </c>
      <c r="F7" s="6"/>
    </row>
    <row r="8" spans="1:6" x14ac:dyDescent="0.3">
      <c r="A8" s="34">
        <v>3</v>
      </c>
      <c r="B8" s="34" t="s">
        <v>100</v>
      </c>
      <c r="C8" s="34">
        <v>83.34</v>
      </c>
      <c r="F8" s="6"/>
    </row>
    <row r="9" spans="1:6" x14ac:dyDescent="0.3">
      <c r="A9" s="34">
        <v>3</v>
      </c>
      <c r="B9" s="34" t="s">
        <v>100</v>
      </c>
      <c r="C9" s="34">
        <v>83.17</v>
      </c>
      <c r="F9" s="6"/>
    </row>
    <row r="10" spans="1:6" x14ac:dyDescent="0.3">
      <c r="A10" s="34">
        <v>3</v>
      </c>
      <c r="B10" s="34" t="s">
        <v>100</v>
      </c>
      <c r="C10" s="34">
        <v>83.27</v>
      </c>
      <c r="F10" s="6"/>
    </row>
    <row r="11" spans="1:6" x14ac:dyDescent="0.3">
      <c r="A11" s="34">
        <v>4</v>
      </c>
      <c r="B11" s="34" t="s">
        <v>100</v>
      </c>
      <c r="C11" s="34">
        <v>82.47</v>
      </c>
      <c r="F11" s="6"/>
    </row>
    <row r="12" spans="1:6" x14ac:dyDescent="0.3">
      <c r="A12" s="34">
        <v>4</v>
      </c>
      <c r="B12" s="34" t="s">
        <v>100</v>
      </c>
      <c r="C12" s="34">
        <v>82.5</v>
      </c>
      <c r="F12" s="6"/>
    </row>
    <row r="13" spans="1:6" x14ac:dyDescent="0.3">
      <c r="A13" s="34">
        <v>4</v>
      </c>
      <c r="B13" s="34" t="s">
        <v>100</v>
      </c>
      <c r="C13" s="34">
        <v>82.64</v>
      </c>
      <c r="F13" s="6"/>
    </row>
    <row r="14" spans="1:6" x14ac:dyDescent="0.3">
      <c r="A14" s="34">
        <v>5</v>
      </c>
      <c r="B14" s="34" t="s">
        <v>100</v>
      </c>
      <c r="C14" s="34">
        <v>81.2</v>
      </c>
      <c r="F14" s="6"/>
    </row>
    <row r="15" spans="1:6" x14ac:dyDescent="0.3">
      <c r="A15" s="34">
        <v>5</v>
      </c>
      <c r="B15" s="34" t="s">
        <v>100</v>
      </c>
      <c r="C15" s="34">
        <v>81.08</v>
      </c>
      <c r="F15" s="6"/>
    </row>
    <row r="16" spans="1:6" x14ac:dyDescent="0.3">
      <c r="A16" s="34">
        <v>5</v>
      </c>
      <c r="B16" s="34" t="s">
        <v>100</v>
      </c>
      <c r="C16" s="34">
        <v>81.16</v>
      </c>
      <c r="F16" s="6"/>
    </row>
    <row r="17" spans="1:6" x14ac:dyDescent="0.3">
      <c r="A17" s="34">
        <v>6</v>
      </c>
      <c r="B17" s="34" t="s">
        <v>100</v>
      </c>
      <c r="C17" s="34">
        <v>82.02</v>
      </c>
      <c r="F17" s="6"/>
    </row>
    <row r="18" spans="1:6" x14ac:dyDescent="0.3">
      <c r="A18" s="34">
        <v>6</v>
      </c>
      <c r="B18" s="34" t="s">
        <v>100</v>
      </c>
      <c r="C18" s="34">
        <v>81.89</v>
      </c>
      <c r="F18" s="6"/>
    </row>
    <row r="19" spans="1:6" x14ac:dyDescent="0.3">
      <c r="A19" s="34">
        <v>6</v>
      </c>
      <c r="B19" s="34" t="s">
        <v>100</v>
      </c>
      <c r="C19" s="34">
        <v>81.790000000000006</v>
      </c>
      <c r="F19" s="6"/>
    </row>
    <row r="20" spans="1:6" x14ac:dyDescent="0.3">
      <c r="A20" s="34">
        <v>7</v>
      </c>
      <c r="B20" s="34" t="s">
        <v>100</v>
      </c>
      <c r="C20" s="34">
        <v>82.59</v>
      </c>
      <c r="F20" s="6"/>
    </row>
    <row r="21" spans="1:6" x14ac:dyDescent="0.3">
      <c r="A21" s="34">
        <v>7</v>
      </c>
      <c r="B21" s="34" t="s">
        <v>100</v>
      </c>
      <c r="C21" s="34">
        <v>82.75</v>
      </c>
      <c r="F21" s="6"/>
    </row>
    <row r="22" spans="1:6" x14ac:dyDescent="0.3">
      <c r="A22" s="34">
        <v>7</v>
      </c>
      <c r="B22" s="34" t="s">
        <v>100</v>
      </c>
      <c r="C22" s="34">
        <v>82.66</v>
      </c>
      <c r="F22" s="6"/>
    </row>
    <row r="23" spans="1:6" x14ac:dyDescent="0.3">
      <c r="A23" s="34">
        <v>8</v>
      </c>
      <c r="B23" s="34" t="s">
        <v>100</v>
      </c>
      <c r="C23" s="34">
        <v>81.69</v>
      </c>
      <c r="F23" s="6"/>
    </row>
    <row r="24" spans="1:6" x14ac:dyDescent="0.3">
      <c r="A24" s="34">
        <v>8</v>
      </c>
      <c r="B24" s="34" t="s">
        <v>100</v>
      </c>
      <c r="C24" s="34">
        <v>81.8</v>
      </c>
      <c r="F24" s="6"/>
    </row>
    <row r="25" spans="1:6" x14ac:dyDescent="0.3">
      <c r="A25" s="34">
        <v>8</v>
      </c>
      <c r="B25" s="34" t="s">
        <v>100</v>
      </c>
      <c r="C25" s="34">
        <v>81.83</v>
      </c>
      <c r="F25" s="6"/>
    </row>
    <row r="26" spans="1:6" x14ac:dyDescent="0.3">
      <c r="A26" s="34">
        <v>9</v>
      </c>
      <c r="B26" s="34" t="s">
        <v>100</v>
      </c>
      <c r="C26" s="34">
        <v>84.26</v>
      </c>
      <c r="F26" s="6"/>
    </row>
    <row r="27" spans="1:6" x14ac:dyDescent="0.3">
      <c r="A27" s="34">
        <v>9</v>
      </c>
      <c r="B27" s="34" t="s">
        <v>100</v>
      </c>
      <c r="C27" s="34">
        <v>83.99</v>
      </c>
      <c r="F27" s="6"/>
    </row>
    <row r="28" spans="1:6" x14ac:dyDescent="0.3">
      <c r="A28" s="34">
        <v>9</v>
      </c>
      <c r="B28" s="34" t="s">
        <v>100</v>
      </c>
      <c r="C28" s="34">
        <v>84.01</v>
      </c>
      <c r="F28" s="6"/>
    </row>
    <row r="29" spans="1:6" x14ac:dyDescent="0.3">
      <c r="A29" s="34">
        <v>10</v>
      </c>
      <c r="B29" s="34" t="s">
        <v>100</v>
      </c>
      <c r="C29" s="34">
        <v>80.64</v>
      </c>
      <c r="F29" s="6"/>
    </row>
    <row r="30" spans="1:6" x14ac:dyDescent="0.3">
      <c r="A30" s="34">
        <v>10</v>
      </c>
      <c r="B30" s="34" t="s">
        <v>100</v>
      </c>
      <c r="C30" s="34">
        <v>80.75</v>
      </c>
      <c r="F30" s="6"/>
    </row>
    <row r="31" spans="1:6" x14ac:dyDescent="0.3">
      <c r="A31" s="34">
        <v>10</v>
      </c>
      <c r="B31" s="34" t="s">
        <v>100</v>
      </c>
      <c r="C31" s="34">
        <v>80.69</v>
      </c>
      <c r="F31" s="6"/>
    </row>
    <row r="32" spans="1:6" x14ac:dyDescent="0.3">
      <c r="A32" s="34">
        <v>1</v>
      </c>
      <c r="B32" s="34" t="s">
        <v>101</v>
      </c>
      <c r="C32" s="34">
        <v>82.08</v>
      </c>
    </row>
    <row r="33" spans="1:3" x14ac:dyDescent="0.3">
      <c r="A33" s="34">
        <v>1</v>
      </c>
      <c r="B33" s="34" t="s">
        <v>101</v>
      </c>
      <c r="C33" s="34">
        <v>82.25</v>
      </c>
    </row>
    <row r="34" spans="1:3" x14ac:dyDescent="0.3">
      <c r="A34" s="34">
        <v>1</v>
      </c>
      <c r="B34" s="34" t="s">
        <v>101</v>
      </c>
      <c r="C34" s="34">
        <v>82.07</v>
      </c>
    </row>
    <row r="35" spans="1:3" x14ac:dyDescent="0.3">
      <c r="A35" s="34">
        <v>2</v>
      </c>
      <c r="B35" s="34" t="s">
        <v>101</v>
      </c>
      <c r="C35" s="34">
        <v>81.53</v>
      </c>
    </row>
    <row r="36" spans="1:3" x14ac:dyDescent="0.3">
      <c r="A36" s="34">
        <v>2</v>
      </c>
      <c r="B36" s="34" t="s">
        <v>101</v>
      </c>
      <c r="C36" s="34">
        <v>80.78</v>
      </c>
    </row>
    <row r="37" spans="1:3" x14ac:dyDescent="0.3">
      <c r="A37" s="34">
        <v>2</v>
      </c>
      <c r="B37" s="34" t="s">
        <v>101</v>
      </c>
      <c r="C37" s="34">
        <v>81.319999999999993</v>
      </c>
    </row>
    <row r="38" spans="1:3" x14ac:dyDescent="0.3">
      <c r="A38" s="34">
        <v>3</v>
      </c>
      <c r="B38" s="34" t="s">
        <v>101</v>
      </c>
      <c r="C38" s="34">
        <v>83.19</v>
      </c>
    </row>
    <row r="39" spans="1:3" x14ac:dyDescent="0.3">
      <c r="A39" s="34">
        <v>3</v>
      </c>
      <c r="B39" s="34" t="s">
        <v>101</v>
      </c>
      <c r="C39" s="34">
        <v>82.94</v>
      </c>
    </row>
    <row r="40" spans="1:3" x14ac:dyDescent="0.3">
      <c r="A40" s="34">
        <v>3</v>
      </c>
      <c r="B40" s="34" t="s">
        <v>101</v>
      </c>
      <c r="C40" s="34">
        <v>83.34</v>
      </c>
    </row>
    <row r="41" spans="1:3" x14ac:dyDescent="0.3">
      <c r="A41" s="34">
        <v>4</v>
      </c>
      <c r="B41" s="34" t="s">
        <v>101</v>
      </c>
      <c r="C41" s="34">
        <v>82.01</v>
      </c>
    </row>
    <row r="42" spans="1:3" x14ac:dyDescent="0.3">
      <c r="A42" s="34">
        <v>4</v>
      </c>
      <c r="B42" s="34" t="s">
        <v>101</v>
      </c>
      <c r="C42" s="34">
        <v>83.03</v>
      </c>
    </row>
    <row r="43" spans="1:3" x14ac:dyDescent="0.3">
      <c r="A43" s="34">
        <v>4</v>
      </c>
      <c r="B43" s="34" t="s">
        <v>101</v>
      </c>
      <c r="C43" s="34">
        <v>82.2</v>
      </c>
    </row>
    <row r="44" spans="1:3" x14ac:dyDescent="0.3">
      <c r="A44" s="34">
        <v>5</v>
      </c>
      <c r="B44" s="34" t="s">
        <v>101</v>
      </c>
      <c r="C44" s="34">
        <v>81.44</v>
      </c>
    </row>
    <row r="45" spans="1:3" x14ac:dyDescent="0.3">
      <c r="A45" s="34">
        <v>5</v>
      </c>
      <c r="B45" s="34" t="s">
        <v>101</v>
      </c>
      <c r="C45" s="34">
        <v>80.8</v>
      </c>
    </row>
    <row r="46" spans="1:3" x14ac:dyDescent="0.3">
      <c r="A46" s="34">
        <v>5</v>
      </c>
      <c r="B46" s="34" t="s">
        <v>101</v>
      </c>
      <c r="C46" s="34">
        <v>80.72</v>
      </c>
    </row>
    <row r="47" spans="1:3" x14ac:dyDescent="0.3">
      <c r="A47" s="34">
        <v>6</v>
      </c>
      <c r="B47" s="34" t="s">
        <v>101</v>
      </c>
      <c r="C47" s="34">
        <v>81.8</v>
      </c>
    </row>
    <row r="48" spans="1:3" x14ac:dyDescent="0.3">
      <c r="A48" s="34">
        <v>6</v>
      </c>
      <c r="B48" s="34" t="s">
        <v>101</v>
      </c>
      <c r="C48" s="34">
        <v>82.22</v>
      </c>
    </row>
    <row r="49" spans="1:3" x14ac:dyDescent="0.3">
      <c r="A49" s="34">
        <v>6</v>
      </c>
      <c r="B49" s="34" t="s">
        <v>101</v>
      </c>
      <c r="C49" s="34">
        <v>82.06</v>
      </c>
    </row>
    <row r="50" spans="1:3" x14ac:dyDescent="0.3">
      <c r="A50" s="34">
        <v>7</v>
      </c>
      <c r="B50" s="34" t="s">
        <v>101</v>
      </c>
      <c r="C50" s="34">
        <v>82.47</v>
      </c>
    </row>
    <row r="51" spans="1:3" x14ac:dyDescent="0.3">
      <c r="A51" s="34">
        <v>7</v>
      </c>
      <c r="B51" s="34" t="s">
        <v>101</v>
      </c>
      <c r="C51" s="34">
        <v>82.55</v>
      </c>
    </row>
    <row r="52" spans="1:3" x14ac:dyDescent="0.3">
      <c r="A52" s="34">
        <v>7</v>
      </c>
      <c r="B52" s="34" t="s">
        <v>101</v>
      </c>
      <c r="C52" s="34">
        <v>82.83</v>
      </c>
    </row>
    <row r="53" spans="1:3" x14ac:dyDescent="0.3">
      <c r="A53" s="34">
        <v>8</v>
      </c>
      <c r="B53" s="34" t="s">
        <v>101</v>
      </c>
      <c r="C53" s="34">
        <v>81.37</v>
      </c>
    </row>
    <row r="54" spans="1:3" x14ac:dyDescent="0.3">
      <c r="A54" s="34">
        <v>8</v>
      </c>
      <c r="B54" s="34" t="s">
        <v>101</v>
      </c>
      <c r="C54" s="34">
        <v>82.08</v>
      </c>
    </row>
    <row r="55" spans="1:3" x14ac:dyDescent="0.3">
      <c r="A55" s="34">
        <v>8</v>
      </c>
      <c r="B55" s="34" t="s">
        <v>101</v>
      </c>
      <c r="C55" s="34">
        <v>81.66</v>
      </c>
    </row>
    <row r="56" spans="1:3" x14ac:dyDescent="0.3">
      <c r="A56" s="34">
        <v>9</v>
      </c>
      <c r="B56" s="34" t="s">
        <v>101</v>
      </c>
      <c r="C56" s="34">
        <v>83.8</v>
      </c>
    </row>
    <row r="57" spans="1:3" x14ac:dyDescent="0.3">
      <c r="A57" s="34">
        <v>9</v>
      </c>
      <c r="B57" s="34" t="s">
        <v>101</v>
      </c>
      <c r="C57" s="34">
        <v>84.12</v>
      </c>
    </row>
    <row r="58" spans="1:3" x14ac:dyDescent="0.3">
      <c r="A58" s="34">
        <v>9</v>
      </c>
      <c r="B58" s="34" t="s">
        <v>101</v>
      </c>
      <c r="C58" s="34">
        <v>84.19</v>
      </c>
    </row>
    <row r="59" spans="1:3" x14ac:dyDescent="0.3">
      <c r="A59" s="34">
        <v>10</v>
      </c>
      <c r="B59" s="34" t="s">
        <v>101</v>
      </c>
      <c r="C59" s="34">
        <v>80.319999999999993</v>
      </c>
    </row>
    <row r="60" spans="1:3" x14ac:dyDescent="0.3">
      <c r="A60" s="34">
        <v>10</v>
      </c>
      <c r="B60" s="34" t="s">
        <v>101</v>
      </c>
      <c r="C60" s="34">
        <v>80.38</v>
      </c>
    </row>
    <row r="61" spans="1:3" x14ac:dyDescent="0.3">
      <c r="A61" s="34">
        <v>10</v>
      </c>
      <c r="B61" s="34" t="s">
        <v>101</v>
      </c>
      <c r="C61" s="34">
        <v>80.5</v>
      </c>
    </row>
    <row r="62" spans="1:3" x14ac:dyDescent="0.3">
      <c r="A62" s="34">
        <v>1</v>
      </c>
      <c r="B62" s="34" t="s">
        <v>102</v>
      </c>
      <c r="C62" s="34">
        <v>82.04</v>
      </c>
    </row>
    <row r="63" spans="1:3" x14ac:dyDescent="0.3">
      <c r="A63" s="34">
        <v>1</v>
      </c>
      <c r="B63" s="34" t="s">
        <v>102</v>
      </c>
      <c r="C63" s="34">
        <v>81.89</v>
      </c>
    </row>
    <row r="64" spans="1:3" x14ac:dyDescent="0.3">
      <c r="A64" s="34">
        <v>1</v>
      </c>
      <c r="B64" s="34" t="s">
        <v>102</v>
      </c>
      <c r="C64" s="34">
        <v>81.849999999999994</v>
      </c>
    </row>
    <row r="65" spans="1:3" x14ac:dyDescent="0.3">
      <c r="A65" s="34">
        <v>2</v>
      </c>
      <c r="B65" s="34" t="s">
        <v>102</v>
      </c>
      <c r="C65" s="34">
        <v>80.62</v>
      </c>
    </row>
    <row r="66" spans="1:3" x14ac:dyDescent="0.3">
      <c r="A66" s="34">
        <v>2</v>
      </c>
      <c r="B66" s="34" t="s">
        <v>102</v>
      </c>
      <c r="C66" s="34">
        <v>80.87</v>
      </c>
    </row>
    <row r="67" spans="1:3" x14ac:dyDescent="0.3">
      <c r="A67" s="34">
        <v>2</v>
      </c>
      <c r="B67" s="34" t="s">
        <v>102</v>
      </c>
      <c r="C67" s="34">
        <v>81.040000000000006</v>
      </c>
    </row>
    <row r="68" spans="1:3" x14ac:dyDescent="0.3">
      <c r="A68" s="34">
        <v>3</v>
      </c>
      <c r="B68" s="34" t="s">
        <v>102</v>
      </c>
      <c r="C68" s="34">
        <v>82.88</v>
      </c>
    </row>
    <row r="69" spans="1:3" x14ac:dyDescent="0.3">
      <c r="A69" s="34">
        <v>3</v>
      </c>
      <c r="B69" s="34" t="s">
        <v>102</v>
      </c>
      <c r="C69" s="34">
        <v>83.09</v>
      </c>
    </row>
    <row r="70" spans="1:3" x14ac:dyDescent="0.3">
      <c r="A70" s="34">
        <v>3</v>
      </c>
      <c r="B70" s="34" t="s">
        <v>102</v>
      </c>
      <c r="C70" s="34">
        <v>82.67</v>
      </c>
    </row>
    <row r="71" spans="1:3" x14ac:dyDescent="0.3">
      <c r="A71" s="34">
        <v>4</v>
      </c>
      <c r="B71" s="34" t="s">
        <v>102</v>
      </c>
      <c r="C71" s="34">
        <v>82.14</v>
      </c>
    </row>
    <row r="72" spans="1:3" x14ac:dyDescent="0.3">
      <c r="A72" s="34">
        <v>4</v>
      </c>
      <c r="B72" s="34" t="s">
        <v>102</v>
      </c>
      <c r="C72" s="34">
        <v>82.2</v>
      </c>
    </row>
    <row r="73" spans="1:3" x14ac:dyDescent="0.3">
      <c r="A73" s="34">
        <v>4</v>
      </c>
      <c r="B73" s="34" t="s">
        <v>102</v>
      </c>
      <c r="C73" s="34">
        <v>82.11</v>
      </c>
    </row>
    <row r="74" spans="1:3" x14ac:dyDescent="0.3">
      <c r="A74" s="34">
        <v>5</v>
      </c>
      <c r="B74" s="34" t="s">
        <v>102</v>
      </c>
      <c r="C74" s="34">
        <v>80.540000000000006</v>
      </c>
    </row>
    <row r="75" spans="1:3" x14ac:dyDescent="0.3">
      <c r="A75" s="34">
        <v>5</v>
      </c>
      <c r="B75" s="34" t="s">
        <v>102</v>
      </c>
      <c r="C75" s="34">
        <v>80.930000000000007</v>
      </c>
    </row>
    <row r="76" spans="1:3" x14ac:dyDescent="0.3">
      <c r="A76" s="34">
        <v>5</v>
      </c>
      <c r="B76" s="34" t="s">
        <v>102</v>
      </c>
      <c r="C76" s="34">
        <v>80.55</v>
      </c>
    </row>
    <row r="77" spans="1:3" x14ac:dyDescent="0.3">
      <c r="A77" s="34">
        <v>6</v>
      </c>
      <c r="B77" s="34" t="s">
        <v>102</v>
      </c>
      <c r="C77" s="34">
        <v>81.709999999999994</v>
      </c>
    </row>
    <row r="78" spans="1:3" x14ac:dyDescent="0.3">
      <c r="A78" s="34">
        <v>6</v>
      </c>
      <c r="B78" s="34" t="s">
        <v>102</v>
      </c>
      <c r="C78" s="34">
        <v>81.33</v>
      </c>
    </row>
    <row r="79" spans="1:3" x14ac:dyDescent="0.3">
      <c r="A79" s="34">
        <v>6</v>
      </c>
      <c r="B79" s="34" t="s">
        <v>102</v>
      </c>
      <c r="C79" s="34">
        <v>81.510000000000005</v>
      </c>
    </row>
    <row r="80" spans="1:3" x14ac:dyDescent="0.3">
      <c r="A80" s="34">
        <v>7</v>
      </c>
      <c r="B80" s="34" t="s">
        <v>102</v>
      </c>
      <c r="C80" s="34">
        <v>82.02</v>
      </c>
    </row>
    <row r="81" spans="1:3" x14ac:dyDescent="0.3">
      <c r="A81" s="34">
        <v>7</v>
      </c>
      <c r="B81" s="34" t="s">
        <v>102</v>
      </c>
      <c r="C81" s="34">
        <v>82.01</v>
      </c>
    </row>
    <row r="82" spans="1:3" x14ac:dyDescent="0.3">
      <c r="A82" s="34">
        <v>7</v>
      </c>
      <c r="B82" s="34" t="s">
        <v>102</v>
      </c>
      <c r="C82" s="34">
        <v>82.21</v>
      </c>
    </row>
    <row r="83" spans="1:3" x14ac:dyDescent="0.3">
      <c r="A83" s="34">
        <v>8</v>
      </c>
      <c r="B83" s="34" t="s">
        <v>102</v>
      </c>
      <c r="C83" s="34">
        <v>81.540000000000006</v>
      </c>
    </row>
    <row r="84" spans="1:3" x14ac:dyDescent="0.3">
      <c r="A84" s="34">
        <v>8</v>
      </c>
      <c r="B84" s="34" t="s">
        <v>102</v>
      </c>
      <c r="C84" s="34">
        <v>81.44</v>
      </c>
    </row>
    <row r="85" spans="1:3" x14ac:dyDescent="0.3">
      <c r="A85" s="34">
        <v>8</v>
      </c>
      <c r="B85" s="34" t="s">
        <v>102</v>
      </c>
      <c r="C85" s="34">
        <v>81.510000000000005</v>
      </c>
    </row>
    <row r="86" spans="1:3" x14ac:dyDescent="0.3">
      <c r="A86" s="34">
        <v>9</v>
      </c>
      <c r="B86" s="34" t="s">
        <v>102</v>
      </c>
      <c r="C86" s="34">
        <v>83.77</v>
      </c>
    </row>
    <row r="87" spans="1:3" x14ac:dyDescent="0.3">
      <c r="A87" s="34">
        <v>9</v>
      </c>
      <c r="B87" s="34" t="s">
        <v>102</v>
      </c>
      <c r="C87" s="34">
        <v>83.45</v>
      </c>
    </row>
    <row r="88" spans="1:3" x14ac:dyDescent="0.3">
      <c r="A88" s="34">
        <v>9</v>
      </c>
      <c r="B88" s="34" t="s">
        <v>102</v>
      </c>
      <c r="C88" s="34">
        <v>83.87</v>
      </c>
    </row>
    <row r="89" spans="1:3" x14ac:dyDescent="0.3">
      <c r="A89" s="34">
        <v>10</v>
      </c>
      <c r="B89" s="34" t="s">
        <v>102</v>
      </c>
      <c r="C89" s="34">
        <v>80.510000000000005</v>
      </c>
    </row>
    <row r="90" spans="1:3" x14ac:dyDescent="0.3">
      <c r="A90" s="34">
        <v>10</v>
      </c>
      <c r="B90" s="34" t="s">
        <v>102</v>
      </c>
      <c r="C90" s="34">
        <v>80.23</v>
      </c>
    </row>
    <row r="91" spans="1:3" x14ac:dyDescent="0.3">
      <c r="A91" s="4">
        <v>10</v>
      </c>
      <c r="B91" s="4" t="s">
        <v>102</v>
      </c>
      <c r="C91" s="4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4" x14ac:dyDescent="0.3"/>
  <cols>
    <col min="1" max="1" width="6.88671875" bestFit="1" customWidth="1"/>
    <col min="2" max="4" width="12" style="50" bestFit="1" customWidth="1"/>
  </cols>
  <sheetData>
    <row r="1" spans="1:4" x14ac:dyDescent="0.3">
      <c r="A1" s="34" t="s">
        <v>19</v>
      </c>
      <c r="B1" s="51" t="s">
        <v>103</v>
      </c>
      <c r="C1" s="51" t="s">
        <v>104</v>
      </c>
      <c r="D1" s="51" t="s">
        <v>105</v>
      </c>
    </row>
    <row r="2" spans="1:4" x14ac:dyDescent="0.3">
      <c r="A2" s="34">
        <v>1</v>
      </c>
      <c r="B2" s="51">
        <v>3.0837088613837178E-2</v>
      </c>
      <c r="C2" s="51">
        <v>3.39207974752209E-2</v>
      </c>
      <c r="D2" s="51">
        <v>3.0837088613837223E-3</v>
      </c>
    </row>
    <row r="3" spans="1:4" x14ac:dyDescent="0.3">
      <c r="A3" s="34">
        <v>2</v>
      </c>
      <c r="B3" s="51">
        <v>2.8889792710339847E-2</v>
      </c>
      <c r="C3" s="51">
        <v>3.1778771981373834E-2</v>
      </c>
      <c r="D3" s="51">
        <v>2.8889792710339868E-3</v>
      </c>
    </row>
    <row r="4" spans="1:4" x14ac:dyDescent="0.3">
      <c r="A4" s="34">
        <v>3</v>
      </c>
      <c r="B4" s="51">
        <v>3.0106985962810525E-2</v>
      </c>
      <c r="C4" s="51">
        <v>3.311768455909158E-2</v>
      </c>
      <c r="D4" s="51">
        <v>3.0106985962810549E-3</v>
      </c>
    </row>
    <row r="5" spans="1:4" x14ac:dyDescent="0.3">
      <c r="A5" s="34">
        <v>4</v>
      </c>
      <c r="B5" s="51">
        <v>2.9378397316945807E-2</v>
      </c>
      <c r="C5" s="51">
        <v>3.2316237048640388E-2</v>
      </c>
      <c r="D5" s="51">
        <v>2.937839731694581E-3</v>
      </c>
    </row>
    <row r="6" spans="1:4" x14ac:dyDescent="0.3">
      <c r="A6" s="34">
        <v>5</v>
      </c>
      <c r="B6" s="51">
        <v>2.952444082343034E-2</v>
      </c>
      <c r="C6" s="51">
        <v>3.2476884905773377E-2</v>
      </c>
      <c r="D6" s="51">
        <v>2.9524440823430372E-3</v>
      </c>
    </row>
    <row r="7" spans="1:4" x14ac:dyDescent="0.3">
      <c r="A7" s="34">
        <v>6</v>
      </c>
      <c r="B7" s="51">
        <v>3.1007923561702806E-2</v>
      </c>
      <c r="C7" s="51">
        <v>3.4108715917873088E-2</v>
      </c>
      <c r="D7" s="51">
        <v>3.1007923561702823E-3</v>
      </c>
    </row>
    <row r="8" spans="1:4" x14ac:dyDescent="0.3">
      <c r="A8" s="34">
        <v>7</v>
      </c>
      <c r="B8" s="51">
        <v>3.1211023888197246E-2</v>
      </c>
      <c r="C8" s="51">
        <v>3.4332126277016976E-2</v>
      </c>
      <c r="D8" s="51">
        <v>3.1211023888197305E-3</v>
      </c>
    </row>
    <row r="9" spans="1:4" x14ac:dyDescent="0.3">
      <c r="A9" s="34">
        <v>8</v>
      </c>
      <c r="B9" s="51">
        <v>2.938534625305431E-2</v>
      </c>
      <c r="C9" s="51">
        <v>3.2323880878359745E-2</v>
      </c>
      <c r="D9" s="51">
        <v>2.9385346253054355E-3</v>
      </c>
    </row>
    <row r="10" spans="1:4" x14ac:dyDescent="0.3">
      <c r="A10" s="34">
        <v>9</v>
      </c>
      <c r="B10" s="51">
        <v>3.0466855720125013E-2</v>
      </c>
      <c r="C10" s="51">
        <v>3.3513541292137516E-2</v>
      </c>
      <c r="D10" s="51">
        <v>3.0466855720125037E-3</v>
      </c>
    </row>
    <row r="11" spans="1:4" x14ac:dyDescent="0.3">
      <c r="A11" s="34">
        <v>10</v>
      </c>
      <c r="B11" s="51">
        <v>3.1654365560183625E-2</v>
      </c>
      <c r="C11" s="51">
        <v>3.4819802116201989E-2</v>
      </c>
      <c r="D11" s="51">
        <v>3.1654365560183639E-3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52"/>
  <sheetViews>
    <sheetView workbookViewId="0"/>
  </sheetViews>
  <sheetFormatPr defaultRowHeight="14.4" x14ac:dyDescent="0.3"/>
  <cols>
    <col min="1" max="2" width="9.33203125" style="2"/>
  </cols>
  <sheetData>
    <row r="1" spans="1:2" x14ac:dyDescent="0.3">
      <c r="A1" s="3" t="s">
        <v>106</v>
      </c>
      <c r="B1" s="3"/>
    </row>
    <row r="2" spans="1:2" x14ac:dyDescent="0.3">
      <c r="A2" s="2" t="s">
        <v>107</v>
      </c>
    </row>
    <row r="3" spans="1:2" x14ac:dyDescent="0.3">
      <c r="A3" s="2" t="s">
        <v>107</v>
      </c>
    </row>
    <row r="4" spans="1:2" x14ac:dyDescent="0.3">
      <c r="A4" s="2" t="s">
        <v>108</v>
      </c>
    </row>
    <row r="5" spans="1:2" x14ac:dyDescent="0.3">
      <c r="A5" s="2" t="s">
        <v>107</v>
      </c>
    </row>
    <row r="6" spans="1:2" x14ac:dyDescent="0.3">
      <c r="A6" s="2" t="s">
        <v>107</v>
      </c>
    </row>
    <row r="7" spans="1:2" x14ac:dyDescent="0.3">
      <c r="A7" s="2" t="s">
        <v>108</v>
      </c>
    </row>
    <row r="8" spans="1:2" x14ac:dyDescent="0.3">
      <c r="A8" s="2" t="s">
        <v>107</v>
      </c>
    </row>
    <row r="9" spans="1:2" x14ac:dyDescent="0.3">
      <c r="A9" s="2" t="s">
        <v>107</v>
      </c>
    </row>
    <row r="10" spans="1:2" x14ac:dyDescent="0.3">
      <c r="A10" s="2" t="s">
        <v>108</v>
      </c>
    </row>
    <row r="11" spans="1:2" x14ac:dyDescent="0.3">
      <c r="A11" s="2" t="s">
        <v>107</v>
      </c>
    </row>
    <row r="12" spans="1:2" x14ac:dyDescent="0.3">
      <c r="A12" s="2" t="s">
        <v>107</v>
      </c>
    </row>
    <row r="13" spans="1:2" x14ac:dyDescent="0.3">
      <c r="A13" s="2" t="s">
        <v>108</v>
      </c>
    </row>
    <row r="14" spans="1:2" x14ac:dyDescent="0.3">
      <c r="A14" s="2" t="s">
        <v>107</v>
      </c>
    </row>
    <row r="15" spans="1:2" x14ac:dyDescent="0.3">
      <c r="A15" s="2" t="s">
        <v>107</v>
      </c>
    </row>
    <row r="16" spans="1:2" x14ac:dyDescent="0.3">
      <c r="A16" s="2" t="s">
        <v>108</v>
      </c>
    </row>
    <row r="17" spans="1:1" x14ac:dyDescent="0.3">
      <c r="A17" s="2" t="s">
        <v>107</v>
      </c>
    </row>
    <row r="18" spans="1:1" x14ac:dyDescent="0.3">
      <c r="A18" s="2" t="s">
        <v>107</v>
      </c>
    </row>
    <row r="19" spans="1:1" x14ac:dyDescent="0.3">
      <c r="A19" s="2" t="s">
        <v>108</v>
      </c>
    </row>
    <row r="20" spans="1:1" x14ac:dyDescent="0.3">
      <c r="A20" s="2" t="s">
        <v>107</v>
      </c>
    </row>
    <row r="21" spans="1:1" x14ac:dyDescent="0.3">
      <c r="A21" s="2" t="s">
        <v>107</v>
      </c>
    </row>
    <row r="22" spans="1:1" x14ac:dyDescent="0.3">
      <c r="A22" s="2" t="s">
        <v>108</v>
      </c>
    </row>
    <row r="23" spans="1:1" x14ac:dyDescent="0.3">
      <c r="A23" s="2" t="s">
        <v>109</v>
      </c>
    </row>
    <row r="24" spans="1:1" x14ac:dyDescent="0.3">
      <c r="A24" s="2" t="s">
        <v>109</v>
      </c>
    </row>
    <row r="25" spans="1:1" x14ac:dyDescent="0.3">
      <c r="A25" s="2" t="s">
        <v>109</v>
      </c>
    </row>
    <row r="26" spans="1:1" x14ac:dyDescent="0.3">
      <c r="A26" s="2" t="s">
        <v>109</v>
      </c>
    </row>
    <row r="27" spans="1:1" x14ac:dyDescent="0.3">
      <c r="A27" s="2" t="s">
        <v>110</v>
      </c>
    </row>
    <row r="28" spans="1:1" x14ac:dyDescent="0.3">
      <c r="A28" s="2" t="s">
        <v>110</v>
      </c>
    </row>
    <row r="29" spans="1:1" x14ac:dyDescent="0.3">
      <c r="A29" s="2" t="s">
        <v>110</v>
      </c>
    </row>
    <row r="30" spans="1:1" x14ac:dyDescent="0.3">
      <c r="A30" s="2" t="s">
        <v>111</v>
      </c>
    </row>
    <row r="31" spans="1:1" x14ac:dyDescent="0.3">
      <c r="A31" s="2" t="s">
        <v>111</v>
      </c>
    </row>
    <row r="32" spans="1:1" x14ac:dyDescent="0.3">
      <c r="A32" s="2" t="s">
        <v>112</v>
      </c>
    </row>
    <row r="33" spans="1:1" x14ac:dyDescent="0.3">
      <c r="A33" s="2" t="s">
        <v>106</v>
      </c>
    </row>
    <row r="34" spans="1:1" x14ac:dyDescent="0.3">
      <c r="A34" s="2" t="s">
        <v>107</v>
      </c>
    </row>
    <row r="35" spans="1:1" x14ac:dyDescent="0.3">
      <c r="A35" s="2" t="s">
        <v>107</v>
      </c>
    </row>
    <row r="36" spans="1:1" x14ac:dyDescent="0.3">
      <c r="A36" s="2" t="s">
        <v>108</v>
      </c>
    </row>
    <row r="37" spans="1:1" x14ac:dyDescent="0.3">
      <c r="A37" s="2" t="s">
        <v>107</v>
      </c>
    </row>
    <row r="38" spans="1:1" x14ac:dyDescent="0.3">
      <c r="A38" s="2" t="s">
        <v>107</v>
      </c>
    </row>
    <row r="39" spans="1:1" x14ac:dyDescent="0.3">
      <c r="A39" s="2" t="s">
        <v>108</v>
      </c>
    </row>
    <row r="40" spans="1:1" x14ac:dyDescent="0.3">
      <c r="A40" s="2" t="s">
        <v>107</v>
      </c>
    </row>
    <row r="41" spans="1:1" x14ac:dyDescent="0.3">
      <c r="A41" s="2" t="s">
        <v>107</v>
      </c>
    </row>
    <row r="42" spans="1:1" x14ac:dyDescent="0.3">
      <c r="A42" s="2" t="s">
        <v>108</v>
      </c>
    </row>
    <row r="43" spans="1:1" x14ac:dyDescent="0.3">
      <c r="A43" s="2" t="s">
        <v>107</v>
      </c>
    </row>
    <row r="44" spans="1:1" x14ac:dyDescent="0.3">
      <c r="A44" s="2" t="s">
        <v>107</v>
      </c>
    </row>
    <row r="45" spans="1:1" x14ac:dyDescent="0.3">
      <c r="A45" s="2" t="s">
        <v>108</v>
      </c>
    </row>
    <row r="46" spans="1:1" x14ac:dyDescent="0.3">
      <c r="A46" s="2" t="s">
        <v>107</v>
      </c>
    </row>
    <row r="47" spans="1:1" x14ac:dyDescent="0.3">
      <c r="A47" s="2" t="s">
        <v>107</v>
      </c>
    </row>
    <row r="48" spans="1:1" x14ac:dyDescent="0.3">
      <c r="A48" s="2" t="s">
        <v>108</v>
      </c>
    </row>
    <row r="49" spans="1:1" x14ac:dyDescent="0.3">
      <c r="A49" s="2" t="s">
        <v>107</v>
      </c>
    </row>
    <row r="50" spans="1:1" x14ac:dyDescent="0.3">
      <c r="A50" s="2" t="s">
        <v>107</v>
      </c>
    </row>
    <row r="51" spans="1:1" x14ac:dyDescent="0.3">
      <c r="A51" s="2" t="s">
        <v>108</v>
      </c>
    </row>
    <row r="52" spans="1:1" x14ac:dyDescent="0.3">
      <c r="A52" s="2" t="s">
        <v>107</v>
      </c>
    </row>
    <row r="53" spans="1:1" x14ac:dyDescent="0.3">
      <c r="A53" s="2" t="s">
        <v>107</v>
      </c>
    </row>
    <row r="54" spans="1:1" x14ac:dyDescent="0.3">
      <c r="A54" s="2" t="s">
        <v>108</v>
      </c>
    </row>
    <row r="55" spans="1:1" x14ac:dyDescent="0.3">
      <c r="A55" s="2" t="s">
        <v>109</v>
      </c>
    </row>
    <row r="56" spans="1:1" x14ac:dyDescent="0.3">
      <c r="A56" s="2" t="s">
        <v>109</v>
      </c>
    </row>
    <row r="57" spans="1:1" x14ac:dyDescent="0.3">
      <c r="A57" s="2" t="s">
        <v>109</v>
      </c>
    </row>
    <row r="58" spans="1:1" x14ac:dyDescent="0.3">
      <c r="A58" s="2" t="s">
        <v>109</v>
      </c>
    </row>
    <row r="59" spans="1:1" x14ac:dyDescent="0.3">
      <c r="A59" s="2" t="s">
        <v>110</v>
      </c>
    </row>
    <row r="60" spans="1:1" x14ac:dyDescent="0.3">
      <c r="A60" s="2" t="s">
        <v>110</v>
      </c>
    </row>
    <row r="61" spans="1:1" x14ac:dyDescent="0.3">
      <c r="A61" s="2" t="s">
        <v>110</v>
      </c>
    </row>
    <row r="62" spans="1:1" x14ac:dyDescent="0.3">
      <c r="A62" s="2" t="s">
        <v>111</v>
      </c>
    </row>
    <row r="63" spans="1:1" x14ac:dyDescent="0.3">
      <c r="A63" s="2" t="s">
        <v>111</v>
      </c>
    </row>
    <row r="64" spans="1:1" x14ac:dyDescent="0.3">
      <c r="A64" s="2" t="s">
        <v>112</v>
      </c>
    </row>
    <row r="65" spans="1:1" x14ac:dyDescent="0.3">
      <c r="A65" s="2" t="s">
        <v>106</v>
      </c>
    </row>
    <row r="66" spans="1:1" x14ac:dyDescent="0.3">
      <c r="A66" s="2" t="s">
        <v>107</v>
      </c>
    </row>
    <row r="67" spans="1:1" x14ac:dyDescent="0.3">
      <c r="A67" s="2" t="s">
        <v>107</v>
      </c>
    </row>
    <row r="68" spans="1:1" x14ac:dyDescent="0.3">
      <c r="A68" s="2" t="s">
        <v>108</v>
      </c>
    </row>
    <row r="69" spans="1:1" x14ac:dyDescent="0.3">
      <c r="A69" s="2" t="s">
        <v>107</v>
      </c>
    </row>
    <row r="70" spans="1:1" x14ac:dyDescent="0.3">
      <c r="A70" s="2" t="s">
        <v>107</v>
      </c>
    </row>
    <row r="71" spans="1:1" x14ac:dyDescent="0.3">
      <c r="A71" s="2" t="s">
        <v>108</v>
      </c>
    </row>
    <row r="72" spans="1:1" x14ac:dyDescent="0.3">
      <c r="A72" s="2" t="s">
        <v>107</v>
      </c>
    </row>
    <row r="73" spans="1:1" x14ac:dyDescent="0.3">
      <c r="A73" s="2" t="s">
        <v>107</v>
      </c>
    </row>
    <row r="74" spans="1:1" x14ac:dyDescent="0.3">
      <c r="A74" s="2" t="s">
        <v>108</v>
      </c>
    </row>
    <row r="75" spans="1:1" x14ac:dyDescent="0.3">
      <c r="A75" s="2" t="s">
        <v>107</v>
      </c>
    </row>
    <row r="76" spans="1:1" x14ac:dyDescent="0.3">
      <c r="A76" s="2" t="s">
        <v>107</v>
      </c>
    </row>
    <row r="77" spans="1:1" x14ac:dyDescent="0.3">
      <c r="A77" s="2" t="s">
        <v>108</v>
      </c>
    </row>
    <row r="78" spans="1:1" x14ac:dyDescent="0.3">
      <c r="A78" s="2" t="s">
        <v>107</v>
      </c>
    </row>
    <row r="79" spans="1:1" x14ac:dyDescent="0.3">
      <c r="A79" s="2" t="s">
        <v>107</v>
      </c>
    </row>
    <row r="80" spans="1:1" x14ac:dyDescent="0.3">
      <c r="A80" s="2" t="s">
        <v>108</v>
      </c>
    </row>
    <row r="81" spans="1:1" x14ac:dyDescent="0.3">
      <c r="A81" s="2" t="s">
        <v>107</v>
      </c>
    </row>
    <row r="82" spans="1:1" x14ac:dyDescent="0.3">
      <c r="A82" s="2" t="s">
        <v>107</v>
      </c>
    </row>
    <row r="83" spans="1:1" x14ac:dyDescent="0.3">
      <c r="A83" s="2" t="s">
        <v>108</v>
      </c>
    </row>
    <row r="84" spans="1:1" x14ac:dyDescent="0.3">
      <c r="A84" s="2" t="s">
        <v>107</v>
      </c>
    </row>
    <row r="85" spans="1:1" x14ac:dyDescent="0.3">
      <c r="A85" s="2" t="s">
        <v>107</v>
      </c>
    </row>
    <row r="86" spans="1:1" x14ac:dyDescent="0.3">
      <c r="A86" s="2" t="s">
        <v>108</v>
      </c>
    </row>
    <row r="87" spans="1:1" x14ac:dyDescent="0.3">
      <c r="A87" s="2" t="s">
        <v>109</v>
      </c>
    </row>
    <row r="88" spans="1:1" x14ac:dyDescent="0.3">
      <c r="A88" s="2" t="s">
        <v>109</v>
      </c>
    </row>
    <row r="89" spans="1:1" x14ac:dyDescent="0.3">
      <c r="A89" s="2" t="s">
        <v>109</v>
      </c>
    </row>
    <row r="90" spans="1:1" x14ac:dyDescent="0.3">
      <c r="A90" s="2" t="s">
        <v>109</v>
      </c>
    </row>
    <row r="91" spans="1:1" x14ac:dyDescent="0.3">
      <c r="A91" s="2" t="s">
        <v>110</v>
      </c>
    </row>
    <row r="92" spans="1:1" x14ac:dyDescent="0.3">
      <c r="A92" s="2" t="s">
        <v>110</v>
      </c>
    </row>
    <row r="93" spans="1:1" x14ac:dyDescent="0.3">
      <c r="A93" s="2" t="s">
        <v>110</v>
      </c>
    </row>
    <row r="94" spans="1:1" x14ac:dyDescent="0.3">
      <c r="A94" s="2" t="s">
        <v>111</v>
      </c>
    </row>
    <row r="95" spans="1:1" x14ac:dyDescent="0.3">
      <c r="A95" s="2" t="s">
        <v>111</v>
      </c>
    </row>
    <row r="96" spans="1:1" x14ac:dyDescent="0.3">
      <c r="A96" s="2" t="s">
        <v>112</v>
      </c>
    </row>
    <row r="97" spans="1:1" x14ac:dyDescent="0.3">
      <c r="A97" s="2" t="s">
        <v>106</v>
      </c>
    </row>
    <row r="98" spans="1:1" x14ac:dyDescent="0.3">
      <c r="A98" s="2" t="s">
        <v>107</v>
      </c>
    </row>
    <row r="99" spans="1:1" x14ac:dyDescent="0.3">
      <c r="A99" s="2" t="s">
        <v>107</v>
      </c>
    </row>
    <row r="100" spans="1:1" x14ac:dyDescent="0.3">
      <c r="A100" s="2" t="s">
        <v>108</v>
      </c>
    </row>
    <row r="101" spans="1:1" x14ac:dyDescent="0.3">
      <c r="A101" s="2" t="s">
        <v>107</v>
      </c>
    </row>
    <row r="102" spans="1:1" x14ac:dyDescent="0.3">
      <c r="A102" s="2" t="s">
        <v>107</v>
      </c>
    </row>
    <row r="103" spans="1:1" x14ac:dyDescent="0.3">
      <c r="A103" s="2" t="s">
        <v>108</v>
      </c>
    </row>
    <row r="104" spans="1:1" x14ac:dyDescent="0.3">
      <c r="A104" s="2" t="s">
        <v>107</v>
      </c>
    </row>
    <row r="105" spans="1:1" x14ac:dyDescent="0.3">
      <c r="A105" s="2" t="s">
        <v>107</v>
      </c>
    </row>
    <row r="106" spans="1:1" x14ac:dyDescent="0.3">
      <c r="A106" s="2" t="s">
        <v>108</v>
      </c>
    </row>
    <row r="107" spans="1:1" x14ac:dyDescent="0.3">
      <c r="A107" s="2" t="s">
        <v>107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107</v>
      </c>
    </row>
    <row r="111" spans="1:1" x14ac:dyDescent="0.3">
      <c r="A111" s="2" t="s">
        <v>107</v>
      </c>
    </row>
    <row r="112" spans="1:1" x14ac:dyDescent="0.3">
      <c r="A112" s="2" t="s">
        <v>108</v>
      </c>
    </row>
    <row r="113" spans="1:1" x14ac:dyDescent="0.3">
      <c r="A113" s="2" t="s">
        <v>107</v>
      </c>
    </row>
    <row r="114" spans="1:1" x14ac:dyDescent="0.3">
      <c r="A114" s="2" t="s">
        <v>107</v>
      </c>
    </row>
    <row r="115" spans="1:1" x14ac:dyDescent="0.3">
      <c r="A115" s="2" t="s">
        <v>108</v>
      </c>
    </row>
    <row r="116" spans="1:1" x14ac:dyDescent="0.3">
      <c r="A116" s="2" t="s">
        <v>107</v>
      </c>
    </row>
    <row r="117" spans="1:1" x14ac:dyDescent="0.3">
      <c r="A117" s="2" t="s">
        <v>107</v>
      </c>
    </row>
    <row r="118" spans="1:1" x14ac:dyDescent="0.3">
      <c r="A118" s="2" t="s">
        <v>108</v>
      </c>
    </row>
    <row r="119" spans="1:1" x14ac:dyDescent="0.3">
      <c r="A119" s="2" t="s">
        <v>109</v>
      </c>
    </row>
    <row r="120" spans="1:1" x14ac:dyDescent="0.3">
      <c r="A120" s="2" t="s">
        <v>109</v>
      </c>
    </row>
    <row r="121" spans="1:1" x14ac:dyDescent="0.3">
      <c r="A121" s="2" t="s">
        <v>109</v>
      </c>
    </row>
    <row r="122" spans="1:1" x14ac:dyDescent="0.3">
      <c r="A122" s="2" t="s">
        <v>109</v>
      </c>
    </row>
    <row r="123" spans="1:1" x14ac:dyDescent="0.3">
      <c r="A123" s="2" t="s">
        <v>110</v>
      </c>
    </row>
    <row r="124" spans="1:1" x14ac:dyDescent="0.3">
      <c r="A124" s="2" t="s">
        <v>110</v>
      </c>
    </row>
    <row r="125" spans="1:1" x14ac:dyDescent="0.3">
      <c r="A125" s="2" t="s">
        <v>110</v>
      </c>
    </row>
    <row r="126" spans="1:1" x14ac:dyDescent="0.3">
      <c r="A126" s="2" t="s">
        <v>111</v>
      </c>
    </row>
    <row r="127" spans="1:1" x14ac:dyDescent="0.3">
      <c r="A127" s="2" t="s">
        <v>111</v>
      </c>
    </row>
    <row r="128" spans="1:1" x14ac:dyDescent="0.3">
      <c r="A128" s="2" t="s">
        <v>112</v>
      </c>
    </row>
    <row r="129" spans="1:1" x14ac:dyDescent="0.3">
      <c r="A129" s="2" t="s">
        <v>106</v>
      </c>
    </row>
    <row r="130" spans="1:1" x14ac:dyDescent="0.3">
      <c r="A130" s="2" t="s">
        <v>107</v>
      </c>
    </row>
    <row r="131" spans="1:1" x14ac:dyDescent="0.3">
      <c r="A131" s="2" t="s">
        <v>107</v>
      </c>
    </row>
    <row r="132" spans="1:1" x14ac:dyDescent="0.3">
      <c r="A132" s="2" t="s">
        <v>108</v>
      </c>
    </row>
    <row r="133" spans="1:1" x14ac:dyDescent="0.3">
      <c r="A133" s="2" t="s">
        <v>107</v>
      </c>
    </row>
    <row r="134" spans="1:1" x14ac:dyDescent="0.3">
      <c r="A134" s="2" t="s">
        <v>107</v>
      </c>
    </row>
    <row r="135" spans="1:1" x14ac:dyDescent="0.3">
      <c r="A135" s="2" t="s">
        <v>108</v>
      </c>
    </row>
    <row r="136" spans="1:1" x14ac:dyDescent="0.3">
      <c r="A136" s="2" t="s">
        <v>107</v>
      </c>
    </row>
    <row r="137" spans="1:1" x14ac:dyDescent="0.3">
      <c r="A137" s="2" t="s">
        <v>107</v>
      </c>
    </row>
    <row r="138" spans="1:1" x14ac:dyDescent="0.3">
      <c r="A138" s="2" t="s">
        <v>108</v>
      </c>
    </row>
    <row r="139" spans="1:1" x14ac:dyDescent="0.3">
      <c r="A139" s="2" t="s">
        <v>107</v>
      </c>
    </row>
    <row r="140" spans="1:1" x14ac:dyDescent="0.3">
      <c r="A140" s="2" t="s">
        <v>107</v>
      </c>
    </row>
    <row r="141" spans="1:1" x14ac:dyDescent="0.3">
      <c r="A141" s="2" t="s">
        <v>108</v>
      </c>
    </row>
    <row r="142" spans="1:1" x14ac:dyDescent="0.3">
      <c r="A142" s="2" t="s">
        <v>107</v>
      </c>
    </row>
    <row r="143" spans="1:1" x14ac:dyDescent="0.3">
      <c r="A143" s="2" t="s">
        <v>107</v>
      </c>
    </row>
    <row r="144" spans="1:1" x14ac:dyDescent="0.3">
      <c r="A144" s="2" t="s">
        <v>108</v>
      </c>
    </row>
    <row r="145" spans="1:1" x14ac:dyDescent="0.3">
      <c r="A145" s="2" t="s">
        <v>107</v>
      </c>
    </row>
    <row r="146" spans="1:1" x14ac:dyDescent="0.3">
      <c r="A146" s="2" t="s">
        <v>107</v>
      </c>
    </row>
    <row r="147" spans="1:1" x14ac:dyDescent="0.3">
      <c r="A147" s="2" t="s">
        <v>108</v>
      </c>
    </row>
    <row r="148" spans="1:1" x14ac:dyDescent="0.3">
      <c r="A148" s="2" t="s">
        <v>107</v>
      </c>
    </row>
    <row r="149" spans="1:1" x14ac:dyDescent="0.3">
      <c r="A149" s="2" t="s">
        <v>107</v>
      </c>
    </row>
    <row r="150" spans="1:1" x14ac:dyDescent="0.3">
      <c r="A150" s="2" t="s">
        <v>108</v>
      </c>
    </row>
    <row r="151" spans="1:1" x14ac:dyDescent="0.3">
      <c r="A151" s="2" t="s">
        <v>109</v>
      </c>
    </row>
    <row r="152" spans="1:1" x14ac:dyDescent="0.3">
      <c r="A152" s="2" t="s">
        <v>109</v>
      </c>
    </row>
    <row r="153" spans="1:1" x14ac:dyDescent="0.3">
      <c r="A153" s="2" t="s">
        <v>109</v>
      </c>
    </row>
    <row r="154" spans="1:1" x14ac:dyDescent="0.3">
      <c r="A154" s="2" t="s">
        <v>109</v>
      </c>
    </row>
    <row r="155" spans="1:1" x14ac:dyDescent="0.3">
      <c r="A155" s="2" t="s">
        <v>110</v>
      </c>
    </row>
    <row r="156" spans="1:1" x14ac:dyDescent="0.3">
      <c r="A156" s="2" t="s">
        <v>110</v>
      </c>
    </row>
    <row r="157" spans="1:1" x14ac:dyDescent="0.3">
      <c r="A157" s="2" t="s">
        <v>110</v>
      </c>
    </row>
    <row r="158" spans="1:1" x14ac:dyDescent="0.3">
      <c r="A158" s="2" t="s">
        <v>111</v>
      </c>
    </row>
    <row r="159" spans="1:1" x14ac:dyDescent="0.3">
      <c r="A159" s="2" t="s">
        <v>111</v>
      </c>
    </row>
    <row r="160" spans="1:1" x14ac:dyDescent="0.3">
      <c r="A160" s="2" t="s">
        <v>112</v>
      </c>
    </row>
    <row r="161" spans="1:1" x14ac:dyDescent="0.3">
      <c r="A161" s="2" t="s">
        <v>106</v>
      </c>
    </row>
    <row r="162" spans="1:1" x14ac:dyDescent="0.3">
      <c r="A162" s="2" t="s">
        <v>107</v>
      </c>
    </row>
    <row r="163" spans="1:1" x14ac:dyDescent="0.3">
      <c r="A163" s="2" t="s">
        <v>107</v>
      </c>
    </row>
    <row r="164" spans="1:1" x14ac:dyDescent="0.3">
      <c r="A164" s="2" t="s">
        <v>108</v>
      </c>
    </row>
    <row r="165" spans="1:1" x14ac:dyDescent="0.3">
      <c r="A165" s="2" t="s">
        <v>107</v>
      </c>
    </row>
    <row r="166" spans="1:1" x14ac:dyDescent="0.3">
      <c r="A166" s="2" t="s">
        <v>107</v>
      </c>
    </row>
    <row r="167" spans="1:1" x14ac:dyDescent="0.3">
      <c r="A167" s="2" t="s">
        <v>108</v>
      </c>
    </row>
    <row r="168" spans="1:1" x14ac:dyDescent="0.3">
      <c r="A168" s="2" t="s">
        <v>107</v>
      </c>
    </row>
    <row r="169" spans="1:1" x14ac:dyDescent="0.3">
      <c r="A169" s="2" t="s">
        <v>107</v>
      </c>
    </row>
    <row r="170" spans="1:1" x14ac:dyDescent="0.3">
      <c r="A170" s="2" t="s">
        <v>108</v>
      </c>
    </row>
    <row r="171" spans="1:1" x14ac:dyDescent="0.3">
      <c r="A171" s="2" t="s">
        <v>107</v>
      </c>
    </row>
    <row r="172" spans="1:1" x14ac:dyDescent="0.3">
      <c r="A172" s="2" t="s">
        <v>107</v>
      </c>
    </row>
    <row r="173" spans="1:1" x14ac:dyDescent="0.3">
      <c r="A173" s="2" t="s">
        <v>108</v>
      </c>
    </row>
    <row r="174" spans="1:1" x14ac:dyDescent="0.3">
      <c r="A174" s="2" t="s">
        <v>107</v>
      </c>
    </row>
    <row r="175" spans="1:1" x14ac:dyDescent="0.3">
      <c r="A175" s="2" t="s">
        <v>107</v>
      </c>
    </row>
    <row r="176" spans="1:1" x14ac:dyDescent="0.3">
      <c r="A176" s="2" t="s">
        <v>108</v>
      </c>
    </row>
    <row r="177" spans="1:1" x14ac:dyDescent="0.3">
      <c r="A177" s="2" t="s">
        <v>107</v>
      </c>
    </row>
    <row r="178" spans="1:1" x14ac:dyDescent="0.3">
      <c r="A178" s="2" t="s">
        <v>107</v>
      </c>
    </row>
    <row r="179" spans="1:1" x14ac:dyDescent="0.3">
      <c r="A179" s="2" t="s">
        <v>108</v>
      </c>
    </row>
    <row r="180" spans="1:1" x14ac:dyDescent="0.3">
      <c r="A180" s="2" t="s">
        <v>107</v>
      </c>
    </row>
    <row r="181" spans="1:1" x14ac:dyDescent="0.3">
      <c r="A181" s="2" t="s">
        <v>107</v>
      </c>
    </row>
    <row r="182" spans="1:1" x14ac:dyDescent="0.3">
      <c r="A182" s="2" t="s">
        <v>108</v>
      </c>
    </row>
    <row r="183" spans="1:1" x14ac:dyDescent="0.3">
      <c r="A183" s="2" t="s">
        <v>109</v>
      </c>
    </row>
    <row r="184" spans="1:1" x14ac:dyDescent="0.3">
      <c r="A184" s="2" t="s">
        <v>109</v>
      </c>
    </row>
    <row r="185" spans="1:1" x14ac:dyDescent="0.3">
      <c r="A185" s="2" t="s">
        <v>109</v>
      </c>
    </row>
    <row r="186" spans="1:1" x14ac:dyDescent="0.3">
      <c r="A186" s="2" t="s">
        <v>109</v>
      </c>
    </row>
    <row r="187" spans="1:1" x14ac:dyDescent="0.3">
      <c r="A187" s="2" t="s">
        <v>110</v>
      </c>
    </row>
    <row r="188" spans="1:1" x14ac:dyDescent="0.3">
      <c r="A188" s="2" t="s">
        <v>110</v>
      </c>
    </row>
    <row r="189" spans="1:1" x14ac:dyDescent="0.3">
      <c r="A189" s="2" t="s">
        <v>110</v>
      </c>
    </row>
    <row r="190" spans="1:1" x14ac:dyDescent="0.3">
      <c r="A190" s="2" t="s">
        <v>111</v>
      </c>
    </row>
    <row r="191" spans="1:1" x14ac:dyDescent="0.3">
      <c r="A191" s="2" t="s">
        <v>111</v>
      </c>
    </row>
    <row r="192" spans="1:1" x14ac:dyDescent="0.3">
      <c r="A192" s="2" t="s">
        <v>112</v>
      </c>
    </row>
    <row r="193" spans="1:1" x14ac:dyDescent="0.3">
      <c r="A193" s="2" t="s">
        <v>106</v>
      </c>
    </row>
    <row r="194" spans="1:1" x14ac:dyDescent="0.3">
      <c r="A194" s="2" t="s">
        <v>107</v>
      </c>
    </row>
    <row r="195" spans="1:1" x14ac:dyDescent="0.3">
      <c r="A195" s="2" t="s">
        <v>107</v>
      </c>
    </row>
    <row r="196" spans="1:1" x14ac:dyDescent="0.3">
      <c r="A196" s="2" t="s">
        <v>108</v>
      </c>
    </row>
    <row r="197" spans="1:1" x14ac:dyDescent="0.3">
      <c r="A197" s="2" t="s">
        <v>107</v>
      </c>
    </row>
    <row r="198" spans="1:1" x14ac:dyDescent="0.3">
      <c r="A198" s="2" t="s">
        <v>107</v>
      </c>
    </row>
    <row r="199" spans="1:1" x14ac:dyDescent="0.3">
      <c r="A199" s="2" t="s">
        <v>108</v>
      </c>
    </row>
    <row r="200" spans="1:1" x14ac:dyDescent="0.3">
      <c r="A200" s="2" t="s">
        <v>107</v>
      </c>
    </row>
    <row r="201" spans="1:1" x14ac:dyDescent="0.3">
      <c r="A201" s="2" t="s">
        <v>107</v>
      </c>
    </row>
    <row r="202" spans="1:1" x14ac:dyDescent="0.3">
      <c r="A202" s="2" t="s">
        <v>108</v>
      </c>
    </row>
    <row r="203" spans="1:1" x14ac:dyDescent="0.3">
      <c r="A203" s="2" t="s">
        <v>107</v>
      </c>
    </row>
    <row r="204" spans="1:1" x14ac:dyDescent="0.3">
      <c r="A204" s="2" t="s">
        <v>107</v>
      </c>
    </row>
    <row r="205" spans="1:1" x14ac:dyDescent="0.3">
      <c r="A205" s="2" t="s">
        <v>108</v>
      </c>
    </row>
    <row r="206" spans="1:1" x14ac:dyDescent="0.3">
      <c r="A206" s="2" t="s">
        <v>107</v>
      </c>
    </row>
    <row r="207" spans="1:1" x14ac:dyDescent="0.3">
      <c r="A207" s="2" t="s">
        <v>107</v>
      </c>
    </row>
    <row r="208" spans="1:1" x14ac:dyDescent="0.3">
      <c r="A208" s="2" t="s">
        <v>108</v>
      </c>
    </row>
    <row r="209" spans="1:1" x14ac:dyDescent="0.3">
      <c r="A209" s="2" t="s">
        <v>107</v>
      </c>
    </row>
    <row r="210" spans="1:1" x14ac:dyDescent="0.3">
      <c r="A210" s="2" t="s">
        <v>107</v>
      </c>
    </row>
    <row r="211" spans="1:1" x14ac:dyDescent="0.3">
      <c r="A211" s="2" t="s">
        <v>108</v>
      </c>
    </row>
    <row r="212" spans="1:1" x14ac:dyDescent="0.3">
      <c r="A212" s="2" t="s">
        <v>107</v>
      </c>
    </row>
    <row r="213" spans="1:1" x14ac:dyDescent="0.3">
      <c r="A213" s="2" t="s">
        <v>107</v>
      </c>
    </row>
    <row r="214" spans="1:1" x14ac:dyDescent="0.3">
      <c r="A214" s="2" t="s">
        <v>108</v>
      </c>
    </row>
    <row r="215" spans="1:1" x14ac:dyDescent="0.3">
      <c r="A215" s="2" t="s">
        <v>109</v>
      </c>
    </row>
    <row r="216" spans="1:1" x14ac:dyDescent="0.3">
      <c r="A216" s="2" t="s">
        <v>109</v>
      </c>
    </row>
    <row r="217" spans="1:1" x14ac:dyDescent="0.3">
      <c r="A217" s="2" t="s">
        <v>109</v>
      </c>
    </row>
    <row r="218" spans="1:1" x14ac:dyDescent="0.3">
      <c r="A218" s="2" t="s">
        <v>109</v>
      </c>
    </row>
    <row r="219" spans="1:1" x14ac:dyDescent="0.3">
      <c r="A219" s="2" t="s">
        <v>110</v>
      </c>
    </row>
    <row r="220" spans="1:1" x14ac:dyDescent="0.3">
      <c r="A220" s="2" t="s">
        <v>110</v>
      </c>
    </row>
    <row r="221" spans="1:1" x14ac:dyDescent="0.3">
      <c r="A221" s="2" t="s">
        <v>110</v>
      </c>
    </row>
    <row r="222" spans="1:1" x14ac:dyDescent="0.3">
      <c r="A222" s="2" t="s">
        <v>111</v>
      </c>
    </row>
    <row r="223" spans="1:1" x14ac:dyDescent="0.3">
      <c r="A223" s="2" t="s">
        <v>111</v>
      </c>
    </row>
    <row r="224" spans="1:1" x14ac:dyDescent="0.3">
      <c r="A224" s="2" t="s">
        <v>112</v>
      </c>
    </row>
    <row r="225" spans="1:1" x14ac:dyDescent="0.3">
      <c r="A225" s="2" t="s">
        <v>106</v>
      </c>
    </row>
    <row r="226" spans="1:1" x14ac:dyDescent="0.3">
      <c r="A226" s="2" t="s">
        <v>107</v>
      </c>
    </row>
    <row r="227" spans="1:1" x14ac:dyDescent="0.3">
      <c r="A227" s="2" t="s">
        <v>107</v>
      </c>
    </row>
    <row r="228" spans="1:1" x14ac:dyDescent="0.3">
      <c r="A228" s="2" t="s">
        <v>108</v>
      </c>
    </row>
    <row r="229" spans="1:1" x14ac:dyDescent="0.3">
      <c r="A229" s="2" t="s">
        <v>107</v>
      </c>
    </row>
    <row r="230" spans="1:1" x14ac:dyDescent="0.3">
      <c r="A230" s="2" t="s">
        <v>107</v>
      </c>
    </row>
    <row r="231" spans="1:1" x14ac:dyDescent="0.3">
      <c r="A231" s="2" t="s">
        <v>108</v>
      </c>
    </row>
    <row r="232" spans="1:1" x14ac:dyDescent="0.3">
      <c r="A232" s="2" t="s">
        <v>107</v>
      </c>
    </row>
    <row r="233" spans="1:1" x14ac:dyDescent="0.3">
      <c r="A233" s="2" t="s">
        <v>107</v>
      </c>
    </row>
    <row r="234" spans="1:1" x14ac:dyDescent="0.3">
      <c r="A234" s="2" t="s">
        <v>108</v>
      </c>
    </row>
    <row r="235" spans="1:1" x14ac:dyDescent="0.3">
      <c r="A235" s="2" t="s">
        <v>107</v>
      </c>
    </row>
    <row r="236" spans="1:1" x14ac:dyDescent="0.3">
      <c r="A236" s="2" t="s">
        <v>107</v>
      </c>
    </row>
    <row r="237" spans="1:1" x14ac:dyDescent="0.3">
      <c r="A237" s="2" t="s">
        <v>108</v>
      </c>
    </row>
    <row r="238" spans="1:1" x14ac:dyDescent="0.3">
      <c r="A238" s="2" t="s">
        <v>107</v>
      </c>
    </row>
    <row r="239" spans="1:1" x14ac:dyDescent="0.3">
      <c r="A239" s="2" t="s">
        <v>107</v>
      </c>
    </row>
    <row r="240" spans="1:1" x14ac:dyDescent="0.3">
      <c r="A240" s="2" t="s">
        <v>108</v>
      </c>
    </row>
    <row r="241" spans="1:1" x14ac:dyDescent="0.3">
      <c r="A241" s="2" t="s">
        <v>107</v>
      </c>
    </row>
    <row r="242" spans="1:1" x14ac:dyDescent="0.3">
      <c r="A242" s="2" t="s">
        <v>107</v>
      </c>
    </row>
    <row r="243" spans="1:1" x14ac:dyDescent="0.3">
      <c r="A243" s="2" t="s">
        <v>108</v>
      </c>
    </row>
    <row r="244" spans="1:1" x14ac:dyDescent="0.3">
      <c r="A244" s="2" t="s">
        <v>107</v>
      </c>
    </row>
    <row r="245" spans="1:1" x14ac:dyDescent="0.3">
      <c r="A245" s="2" t="s">
        <v>107</v>
      </c>
    </row>
    <row r="246" spans="1:1" x14ac:dyDescent="0.3">
      <c r="A246" s="2" t="s">
        <v>108</v>
      </c>
    </row>
    <row r="247" spans="1:1" x14ac:dyDescent="0.3">
      <c r="A247" s="2" t="s">
        <v>109</v>
      </c>
    </row>
    <row r="248" spans="1:1" x14ac:dyDescent="0.3">
      <c r="A248" s="2" t="s">
        <v>109</v>
      </c>
    </row>
    <row r="249" spans="1:1" x14ac:dyDescent="0.3">
      <c r="A249" s="2" t="s">
        <v>109</v>
      </c>
    </row>
    <row r="250" spans="1:1" x14ac:dyDescent="0.3">
      <c r="A250" s="2" t="s">
        <v>109</v>
      </c>
    </row>
    <row r="251" spans="1:1" x14ac:dyDescent="0.3">
      <c r="A251" s="2" t="s">
        <v>110</v>
      </c>
    </row>
    <row r="252" spans="1:1" x14ac:dyDescent="0.3">
      <c r="A252" s="2" t="s">
        <v>110</v>
      </c>
    </row>
    <row r="253" spans="1:1" x14ac:dyDescent="0.3">
      <c r="A253" s="2" t="s">
        <v>110</v>
      </c>
    </row>
    <row r="254" spans="1:1" x14ac:dyDescent="0.3">
      <c r="A254" s="2" t="s">
        <v>111</v>
      </c>
    </row>
    <row r="255" spans="1:1" x14ac:dyDescent="0.3">
      <c r="A255" s="2" t="s">
        <v>111</v>
      </c>
    </row>
    <row r="256" spans="1:1" x14ac:dyDescent="0.3">
      <c r="A256" s="2" t="s">
        <v>112</v>
      </c>
    </row>
    <row r="257" spans="1:1" x14ac:dyDescent="0.3">
      <c r="A257" s="2" t="s">
        <v>106</v>
      </c>
    </row>
    <row r="258" spans="1:1" x14ac:dyDescent="0.3">
      <c r="A258" s="2" t="s">
        <v>107</v>
      </c>
    </row>
    <row r="259" spans="1:1" x14ac:dyDescent="0.3">
      <c r="A259" s="2" t="s">
        <v>107</v>
      </c>
    </row>
    <row r="260" spans="1:1" x14ac:dyDescent="0.3">
      <c r="A260" s="2" t="s">
        <v>108</v>
      </c>
    </row>
    <row r="261" spans="1:1" x14ac:dyDescent="0.3">
      <c r="A261" s="2" t="s">
        <v>107</v>
      </c>
    </row>
    <row r="262" spans="1:1" x14ac:dyDescent="0.3">
      <c r="A262" s="2" t="s">
        <v>107</v>
      </c>
    </row>
    <row r="263" spans="1:1" x14ac:dyDescent="0.3">
      <c r="A263" s="2" t="s">
        <v>108</v>
      </c>
    </row>
    <row r="264" spans="1:1" x14ac:dyDescent="0.3">
      <c r="A264" s="2" t="s">
        <v>107</v>
      </c>
    </row>
    <row r="265" spans="1:1" x14ac:dyDescent="0.3">
      <c r="A265" s="2" t="s">
        <v>107</v>
      </c>
    </row>
    <row r="266" spans="1:1" x14ac:dyDescent="0.3">
      <c r="A266" s="2" t="s">
        <v>108</v>
      </c>
    </row>
    <row r="267" spans="1:1" x14ac:dyDescent="0.3">
      <c r="A267" s="2" t="s">
        <v>107</v>
      </c>
    </row>
    <row r="268" spans="1:1" x14ac:dyDescent="0.3">
      <c r="A268" s="2" t="s">
        <v>107</v>
      </c>
    </row>
    <row r="269" spans="1:1" x14ac:dyDescent="0.3">
      <c r="A269" s="2" t="s">
        <v>108</v>
      </c>
    </row>
    <row r="270" spans="1:1" x14ac:dyDescent="0.3">
      <c r="A270" s="2" t="s">
        <v>107</v>
      </c>
    </row>
    <row r="271" spans="1:1" x14ac:dyDescent="0.3">
      <c r="A271" s="2" t="s">
        <v>107</v>
      </c>
    </row>
    <row r="272" spans="1:1" x14ac:dyDescent="0.3">
      <c r="A272" s="2" t="s">
        <v>108</v>
      </c>
    </row>
    <row r="273" spans="1:1" x14ac:dyDescent="0.3">
      <c r="A273" s="2" t="s">
        <v>107</v>
      </c>
    </row>
    <row r="274" spans="1:1" x14ac:dyDescent="0.3">
      <c r="A274" s="2" t="s">
        <v>107</v>
      </c>
    </row>
    <row r="275" spans="1:1" x14ac:dyDescent="0.3">
      <c r="A275" s="2" t="s">
        <v>108</v>
      </c>
    </row>
    <row r="276" spans="1:1" x14ac:dyDescent="0.3">
      <c r="A276" s="2" t="s">
        <v>107</v>
      </c>
    </row>
    <row r="277" spans="1:1" x14ac:dyDescent="0.3">
      <c r="A277" s="2" t="s">
        <v>107</v>
      </c>
    </row>
    <row r="278" spans="1:1" x14ac:dyDescent="0.3">
      <c r="A278" s="2" t="s">
        <v>108</v>
      </c>
    </row>
    <row r="279" spans="1:1" x14ac:dyDescent="0.3">
      <c r="A279" s="2" t="s">
        <v>109</v>
      </c>
    </row>
    <row r="280" spans="1:1" x14ac:dyDescent="0.3">
      <c r="A280" s="2" t="s">
        <v>109</v>
      </c>
    </row>
    <row r="281" spans="1:1" x14ac:dyDescent="0.3">
      <c r="A281" s="2" t="s">
        <v>109</v>
      </c>
    </row>
    <row r="282" spans="1:1" x14ac:dyDescent="0.3">
      <c r="A282" s="2" t="s">
        <v>109</v>
      </c>
    </row>
    <row r="283" spans="1:1" x14ac:dyDescent="0.3">
      <c r="A283" s="2" t="s">
        <v>110</v>
      </c>
    </row>
    <row r="284" spans="1:1" x14ac:dyDescent="0.3">
      <c r="A284" s="2" t="s">
        <v>110</v>
      </c>
    </row>
    <row r="285" spans="1:1" x14ac:dyDescent="0.3">
      <c r="A285" s="2" t="s">
        <v>110</v>
      </c>
    </row>
    <row r="286" spans="1:1" x14ac:dyDescent="0.3">
      <c r="A286" s="2" t="s">
        <v>111</v>
      </c>
    </row>
    <row r="287" spans="1:1" x14ac:dyDescent="0.3">
      <c r="A287" s="2" t="s">
        <v>111</v>
      </c>
    </row>
    <row r="288" spans="1:1" x14ac:dyDescent="0.3">
      <c r="A288" s="2" t="s">
        <v>112</v>
      </c>
    </row>
    <row r="289" spans="1:1" x14ac:dyDescent="0.3">
      <c r="A289" s="2" t="s">
        <v>106</v>
      </c>
    </row>
    <row r="290" spans="1:1" x14ac:dyDescent="0.3">
      <c r="A290" s="2" t="s">
        <v>107</v>
      </c>
    </row>
    <row r="291" spans="1:1" x14ac:dyDescent="0.3">
      <c r="A291" s="2" t="s">
        <v>107</v>
      </c>
    </row>
    <row r="292" spans="1:1" x14ac:dyDescent="0.3">
      <c r="A292" s="2" t="s">
        <v>108</v>
      </c>
    </row>
    <row r="293" spans="1:1" x14ac:dyDescent="0.3">
      <c r="A293" s="2" t="s">
        <v>107</v>
      </c>
    </row>
    <row r="294" spans="1:1" x14ac:dyDescent="0.3">
      <c r="A294" s="2" t="s">
        <v>107</v>
      </c>
    </row>
    <row r="295" spans="1:1" x14ac:dyDescent="0.3">
      <c r="A295" s="2" t="s">
        <v>108</v>
      </c>
    </row>
    <row r="296" spans="1:1" x14ac:dyDescent="0.3">
      <c r="A296" s="2" t="s">
        <v>107</v>
      </c>
    </row>
    <row r="297" spans="1:1" x14ac:dyDescent="0.3">
      <c r="A297" s="2" t="s">
        <v>107</v>
      </c>
    </row>
    <row r="298" spans="1:1" x14ac:dyDescent="0.3">
      <c r="A298" s="2" t="s">
        <v>108</v>
      </c>
    </row>
    <row r="299" spans="1:1" x14ac:dyDescent="0.3">
      <c r="A299" s="2" t="s">
        <v>107</v>
      </c>
    </row>
    <row r="300" spans="1:1" x14ac:dyDescent="0.3">
      <c r="A300" s="2" t="s">
        <v>107</v>
      </c>
    </row>
    <row r="301" spans="1:1" x14ac:dyDescent="0.3">
      <c r="A301" s="2" t="s">
        <v>108</v>
      </c>
    </row>
    <row r="302" spans="1:1" x14ac:dyDescent="0.3">
      <c r="A302" s="2" t="s">
        <v>107</v>
      </c>
    </row>
    <row r="303" spans="1:1" x14ac:dyDescent="0.3">
      <c r="A303" s="2" t="s">
        <v>107</v>
      </c>
    </row>
    <row r="304" spans="1:1" x14ac:dyDescent="0.3">
      <c r="A304" s="2" t="s">
        <v>108</v>
      </c>
    </row>
    <row r="305" spans="1:1" x14ac:dyDescent="0.3">
      <c r="A305" s="2" t="s">
        <v>107</v>
      </c>
    </row>
    <row r="306" spans="1:1" x14ac:dyDescent="0.3">
      <c r="A306" s="2" t="s">
        <v>107</v>
      </c>
    </row>
    <row r="307" spans="1:1" x14ac:dyDescent="0.3">
      <c r="A307" s="2" t="s">
        <v>108</v>
      </c>
    </row>
    <row r="308" spans="1:1" x14ac:dyDescent="0.3">
      <c r="A308" s="2" t="s">
        <v>107</v>
      </c>
    </row>
    <row r="309" spans="1:1" x14ac:dyDescent="0.3">
      <c r="A309" s="2" t="s">
        <v>107</v>
      </c>
    </row>
    <row r="310" spans="1:1" x14ac:dyDescent="0.3">
      <c r="A310" s="2" t="s">
        <v>108</v>
      </c>
    </row>
    <row r="311" spans="1:1" x14ac:dyDescent="0.3">
      <c r="A311" s="2" t="s">
        <v>109</v>
      </c>
    </row>
    <row r="312" spans="1:1" x14ac:dyDescent="0.3">
      <c r="A312" s="2" t="s">
        <v>109</v>
      </c>
    </row>
    <row r="313" spans="1:1" x14ac:dyDescent="0.3">
      <c r="A313" s="2" t="s">
        <v>109</v>
      </c>
    </row>
    <row r="314" spans="1:1" x14ac:dyDescent="0.3">
      <c r="A314" s="2" t="s">
        <v>109</v>
      </c>
    </row>
    <row r="315" spans="1:1" x14ac:dyDescent="0.3">
      <c r="A315" s="2" t="s">
        <v>110</v>
      </c>
    </row>
    <row r="316" spans="1:1" x14ac:dyDescent="0.3">
      <c r="A316" s="2" t="s">
        <v>110</v>
      </c>
    </row>
    <row r="317" spans="1:1" x14ac:dyDescent="0.3">
      <c r="A317" s="2" t="s">
        <v>110</v>
      </c>
    </row>
    <row r="318" spans="1:1" x14ac:dyDescent="0.3">
      <c r="A318" s="2" t="s">
        <v>111</v>
      </c>
    </row>
    <row r="319" spans="1:1" x14ac:dyDescent="0.3">
      <c r="A319" s="2" t="s">
        <v>111</v>
      </c>
    </row>
    <row r="320" spans="1:1" x14ac:dyDescent="0.3">
      <c r="A320" s="2" t="s">
        <v>112</v>
      </c>
    </row>
    <row r="321" spans="1:1" x14ac:dyDescent="0.3">
      <c r="A321" s="2" t="s">
        <v>106</v>
      </c>
    </row>
    <row r="322" spans="1:1" x14ac:dyDescent="0.3">
      <c r="A322" s="2" t="s">
        <v>107</v>
      </c>
    </row>
    <row r="323" spans="1:1" x14ac:dyDescent="0.3">
      <c r="A323" s="2" t="s">
        <v>107</v>
      </c>
    </row>
    <row r="324" spans="1:1" x14ac:dyDescent="0.3">
      <c r="A324" s="2" t="s">
        <v>108</v>
      </c>
    </row>
    <row r="325" spans="1:1" x14ac:dyDescent="0.3">
      <c r="A325" s="2" t="s">
        <v>107</v>
      </c>
    </row>
    <row r="326" spans="1:1" x14ac:dyDescent="0.3">
      <c r="A326" s="2" t="s">
        <v>107</v>
      </c>
    </row>
    <row r="327" spans="1:1" x14ac:dyDescent="0.3">
      <c r="A327" s="2" t="s">
        <v>108</v>
      </c>
    </row>
    <row r="328" spans="1:1" x14ac:dyDescent="0.3">
      <c r="A328" s="2" t="s">
        <v>107</v>
      </c>
    </row>
    <row r="329" spans="1:1" x14ac:dyDescent="0.3">
      <c r="A329" s="2" t="s">
        <v>107</v>
      </c>
    </row>
    <row r="330" spans="1:1" x14ac:dyDescent="0.3">
      <c r="A330" s="2" t="s">
        <v>108</v>
      </c>
    </row>
    <row r="331" spans="1:1" x14ac:dyDescent="0.3">
      <c r="A331" s="2" t="s">
        <v>107</v>
      </c>
    </row>
    <row r="332" spans="1:1" x14ac:dyDescent="0.3">
      <c r="A332" s="2" t="s">
        <v>107</v>
      </c>
    </row>
    <row r="333" spans="1:1" x14ac:dyDescent="0.3">
      <c r="A333" s="2" t="s">
        <v>108</v>
      </c>
    </row>
    <row r="334" spans="1:1" x14ac:dyDescent="0.3">
      <c r="A334" s="2" t="s">
        <v>107</v>
      </c>
    </row>
    <row r="335" spans="1:1" x14ac:dyDescent="0.3">
      <c r="A335" s="2" t="s">
        <v>107</v>
      </c>
    </row>
    <row r="336" spans="1:1" x14ac:dyDescent="0.3">
      <c r="A336" s="2" t="s">
        <v>108</v>
      </c>
    </row>
    <row r="337" spans="1:1" x14ac:dyDescent="0.3">
      <c r="A337" s="2" t="s">
        <v>107</v>
      </c>
    </row>
    <row r="338" spans="1:1" x14ac:dyDescent="0.3">
      <c r="A338" s="2" t="s">
        <v>107</v>
      </c>
    </row>
    <row r="339" spans="1:1" x14ac:dyDescent="0.3">
      <c r="A339" s="2" t="s">
        <v>108</v>
      </c>
    </row>
    <row r="340" spans="1:1" x14ac:dyDescent="0.3">
      <c r="A340" s="2" t="s">
        <v>107</v>
      </c>
    </row>
    <row r="341" spans="1:1" x14ac:dyDescent="0.3">
      <c r="A341" s="2" t="s">
        <v>107</v>
      </c>
    </row>
    <row r="342" spans="1:1" x14ac:dyDescent="0.3">
      <c r="A342" s="2" t="s">
        <v>108</v>
      </c>
    </row>
    <row r="343" spans="1:1" x14ac:dyDescent="0.3">
      <c r="A343" s="2" t="s">
        <v>109</v>
      </c>
    </row>
    <row r="344" spans="1:1" x14ac:dyDescent="0.3">
      <c r="A344" s="2" t="s">
        <v>109</v>
      </c>
    </row>
    <row r="345" spans="1:1" x14ac:dyDescent="0.3">
      <c r="A345" s="2" t="s">
        <v>109</v>
      </c>
    </row>
    <row r="346" spans="1:1" x14ac:dyDescent="0.3">
      <c r="A346" s="2" t="s">
        <v>109</v>
      </c>
    </row>
    <row r="347" spans="1:1" x14ac:dyDescent="0.3">
      <c r="A347" s="2" t="s">
        <v>110</v>
      </c>
    </row>
    <row r="348" spans="1:1" x14ac:dyDescent="0.3">
      <c r="A348" s="2" t="s">
        <v>110</v>
      </c>
    </row>
    <row r="349" spans="1:1" x14ac:dyDescent="0.3">
      <c r="A349" s="2" t="s">
        <v>110</v>
      </c>
    </row>
    <row r="350" spans="1:1" x14ac:dyDescent="0.3">
      <c r="A350" s="2" t="s">
        <v>111</v>
      </c>
    </row>
    <row r="351" spans="1:1" x14ac:dyDescent="0.3">
      <c r="A351" s="2" t="s">
        <v>111</v>
      </c>
    </row>
    <row r="352" spans="1:1" x14ac:dyDescent="0.3">
      <c r="A352" s="2" t="s">
        <v>112</v>
      </c>
    </row>
    <row r="353" spans="1:1" x14ac:dyDescent="0.3">
      <c r="A353" s="2" t="s">
        <v>106</v>
      </c>
    </row>
    <row r="354" spans="1:1" x14ac:dyDescent="0.3">
      <c r="A354" s="2" t="s">
        <v>107</v>
      </c>
    </row>
    <row r="355" spans="1:1" x14ac:dyDescent="0.3">
      <c r="A355" s="2" t="s">
        <v>107</v>
      </c>
    </row>
    <row r="356" spans="1:1" x14ac:dyDescent="0.3">
      <c r="A356" s="2" t="s">
        <v>108</v>
      </c>
    </row>
    <row r="357" spans="1:1" x14ac:dyDescent="0.3">
      <c r="A357" s="2" t="s">
        <v>107</v>
      </c>
    </row>
    <row r="358" spans="1:1" x14ac:dyDescent="0.3">
      <c r="A358" s="2" t="s">
        <v>107</v>
      </c>
    </row>
    <row r="359" spans="1:1" x14ac:dyDescent="0.3">
      <c r="A359" s="2" t="s">
        <v>108</v>
      </c>
    </row>
    <row r="360" spans="1:1" x14ac:dyDescent="0.3">
      <c r="A360" s="2" t="s">
        <v>107</v>
      </c>
    </row>
    <row r="361" spans="1:1" x14ac:dyDescent="0.3">
      <c r="A361" s="2" t="s">
        <v>107</v>
      </c>
    </row>
    <row r="362" spans="1:1" x14ac:dyDescent="0.3">
      <c r="A362" s="2" t="s">
        <v>108</v>
      </c>
    </row>
    <row r="363" spans="1:1" x14ac:dyDescent="0.3">
      <c r="A363" s="2" t="s">
        <v>107</v>
      </c>
    </row>
    <row r="364" spans="1:1" x14ac:dyDescent="0.3">
      <c r="A364" s="2" t="s">
        <v>107</v>
      </c>
    </row>
    <row r="365" spans="1:1" x14ac:dyDescent="0.3">
      <c r="A365" s="2" t="s">
        <v>108</v>
      </c>
    </row>
    <row r="366" spans="1:1" x14ac:dyDescent="0.3">
      <c r="A366" s="2" t="s">
        <v>107</v>
      </c>
    </row>
    <row r="367" spans="1:1" x14ac:dyDescent="0.3">
      <c r="A367" s="2" t="s">
        <v>107</v>
      </c>
    </row>
    <row r="368" spans="1:1" x14ac:dyDescent="0.3">
      <c r="A368" s="2" t="s">
        <v>108</v>
      </c>
    </row>
    <row r="369" spans="1:1" x14ac:dyDescent="0.3">
      <c r="A369" s="2" t="s">
        <v>107</v>
      </c>
    </row>
    <row r="370" spans="1:1" x14ac:dyDescent="0.3">
      <c r="A370" s="2" t="s">
        <v>107</v>
      </c>
    </row>
    <row r="371" spans="1:1" x14ac:dyDescent="0.3">
      <c r="A371" s="2" t="s">
        <v>108</v>
      </c>
    </row>
    <row r="372" spans="1:1" x14ac:dyDescent="0.3">
      <c r="A372" s="2" t="s">
        <v>107</v>
      </c>
    </row>
    <row r="373" spans="1:1" x14ac:dyDescent="0.3">
      <c r="A373" s="2" t="s">
        <v>107</v>
      </c>
    </row>
    <row r="374" spans="1:1" x14ac:dyDescent="0.3">
      <c r="A374" s="2" t="s">
        <v>108</v>
      </c>
    </row>
    <row r="375" spans="1:1" x14ac:dyDescent="0.3">
      <c r="A375" s="2" t="s">
        <v>109</v>
      </c>
    </row>
    <row r="376" spans="1:1" x14ac:dyDescent="0.3">
      <c r="A376" s="2" t="s">
        <v>109</v>
      </c>
    </row>
    <row r="377" spans="1:1" x14ac:dyDescent="0.3">
      <c r="A377" s="2" t="s">
        <v>109</v>
      </c>
    </row>
    <row r="378" spans="1:1" x14ac:dyDescent="0.3">
      <c r="A378" s="2" t="s">
        <v>109</v>
      </c>
    </row>
    <row r="379" spans="1:1" x14ac:dyDescent="0.3">
      <c r="A379" s="2" t="s">
        <v>110</v>
      </c>
    </row>
    <row r="380" spans="1:1" x14ac:dyDescent="0.3">
      <c r="A380" s="2" t="s">
        <v>110</v>
      </c>
    </row>
    <row r="381" spans="1:1" x14ac:dyDescent="0.3">
      <c r="A381" s="2" t="s">
        <v>110</v>
      </c>
    </row>
    <row r="382" spans="1:1" x14ac:dyDescent="0.3">
      <c r="A382" s="2" t="s">
        <v>111</v>
      </c>
    </row>
    <row r="383" spans="1:1" x14ac:dyDescent="0.3">
      <c r="A383" s="2" t="s">
        <v>111</v>
      </c>
    </row>
    <row r="384" spans="1:1" x14ac:dyDescent="0.3">
      <c r="A384" s="2" t="s">
        <v>112</v>
      </c>
    </row>
    <row r="385" spans="1:1" x14ac:dyDescent="0.3">
      <c r="A385" s="2" t="s">
        <v>106</v>
      </c>
    </row>
    <row r="386" spans="1:1" x14ac:dyDescent="0.3">
      <c r="A386" s="2" t="s">
        <v>107</v>
      </c>
    </row>
    <row r="387" spans="1:1" x14ac:dyDescent="0.3">
      <c r="A387" s="2" t="s">
        <v>107</v>
      </c>
    </row>
    <row r="388" spans="1:1" x14ac:dyDescent="0.3">
      <c r="A388" s="2" t="s">
        <v>108</v>
      </c>
    </row>
    <row r="389" spans="1:1" x14ac:dyDescent="0.3">
      <c r="A389" s="2" t="s">
        <v>107</v>
      </c>
    </row>
    <row r="390" spans="1:1" x14ac:dyDescent="0.3">
      <c r="A390" s="2" t="s">
        <v>107</v>
      </c>
    </row>
    <row r="391" spans="1:1" x14ac:dyDescent="0.3">
      <c r="A391" s="2" t="s">
        <v>108</v>
      </c>
    </row>
    <row r="392" spans="1:1" x14ac:dyDescent="0.3">
      <c r="A392" s="2" t="s">
        <v>107</v>
      </c>
    </row>
    <row r="393" spans="1:1" x14ac:dyDescent="0.3">
      <c r="A393" s="2" t="s">
        <v>107</v>
      </c>
    </row>
    <row r="394" spans="1:1" x14ac:dyDescent="0.3">
      <c r="A394" s="2" t="s">
        <v>108</v>
      </c>
    </row>
    <row r="395" spans="1:1" x14ac:dyDescent="0.3">
      <c r="A395" s="2" t="s">
        <v>107</v>
      </c>
    </row>
    <row r="396" spans="1:1" x14ac:dyDescent="0.3">
      <c r="A396" s="2" t="s">
        <v>107</v>
      </c>
    </row>
    <row r="397" spans="1:1" x14ac:dyDescent="0.3">
      <c r="A397" s="2" t="s">
        <v>108</v>
      </c>
    </row>
    <row r="398" spans="1:1" x14ac:dyDescent="0.3">
      <c r="A398" s="2" t="s">
        <v>107</v>
      </c>
    </row>
    <row r="399" spans="1:1" x14ac:dyDescent="0.3">
      <c r="A399" s="2" t="s">
        <v>107</v>
      </c>
    </row>
    <row r="400" spans="1:1" x14ac:dyDescent="0.3">
      <c r="A400" s="2" t="s">
        <v>108</v>
      </c>
    </row>
    <row r="401" spans="1:1" x14ac:dyDescent="0.3">
      <c r="A401" s="2" t="s">
        <v>107</v>
      </c>
    </row>
    <row r="402" spans="1:1" x14ac:dyDescent="0.3">
      <c r="A402" s="2" t="s">
        <v>107</v>
      </c>
    </row>
    <row r="403" spans="1:1" x14ac:dyDescent="0.3">
      <c r="A403" s="2" t="s">
        <v>108</v>
      </c>
    </row>
    <row r="404" spans="1:1" x14ac:dyDescent="0.3">
      <c r="A404" s="2" t="s">
        <v>107</v>
      </c>
    </row>
    <row r="405" spans="1:1" x14ac:dyDescent="0.3">
      <c r="A405" s="2" t="s">
        <v>107</v>
      </c>
    </row>
    <row r="406" spans="1:1" x14ac:dyDescent="0.3">
      <c r="A406" s="2" t="s">
        <v>108</v>
      </c>
    </row>
    <row r="407" spans="1:1" x14ac:dyDescent="0.3">
      <c r="A407" s="2" t="s">
        <v>109</v>
      </c>
    </row>
    <row r="408" spans="1:1" x14ac:dyDescent="0.3">
      <c r="A408" s="2" t="s">
        <v>109</v>
      </c>
    </row>
    <row r="409" spans="1:1" x14ac:dyDescent="0.3">
      <c r="A409" s="2" t="s">
        <v>109</v>
      </c>
    </row>
    <row r="410" spans="1:1" x14ac:dyDescent="0.3">
      <c r="A410" s="2" t="s">
        <v>109</v>
      </c>
    </row>
    <row r="411" spans="1:1" x14ac:dyDescent="0.3">
      <c r="A411" s="2" t="s">
        <v>110</v>
      </c>
    </row>
    <row r="412" spans="1:1" x14ac:dyDescent="0.3">
      <c r="A412" s="2" t="s">
        <v>110</v>
      </c>
    </row>
    <row r="413" spans="1:1" x14ac:dyDescent="0.3">
      <c r="A413" s="2" t="s">
        <v>110</v>
      </c>
    </row>
    <row r="414" spans="1:1" x14ac:dyDescent="0.3">
      <c r="A414" s="2" t="s">
        <v>111</v>
      </c>
    </row>
    <row r="415" spans="1:1" x14ac:dyDescent="0.3">
      <c r="A415" s="2" t="s">
        <v>111</v>
      </c>
    </row>
    <row r="416" spans="1:1" x14ac:dyDescent="0.3">
      <c r="A416" s="2" t="s">
        <v>112</v>
      </c>
    </row>
    <row r="417" spans="1:1" x14ac:dyDescent="0.3">
      <c r="A417" s="2" t="s">
        <v>106</v>
      </c>
    </row>
    <row r="418" spans="1:1" x14ac:dyDescent="0.3">
      <c r="A418" s="2" t="s">
        <v>107</v>
      </c>
    </row>
    <row r="419" spans="1:1" x14ac:dyDescent="0.3">
      <c r="A419" s="2" t="s">
        <v>107</v>
      </c>
    </row>
    <row r="420" spans="1:1" x14ac:dyDescent="0.3">
      <c r="A420" s="2" t="s">
        <v>108</v>
      </c>
    </row>
    <row r="421" spans="1:1" x14ac:dyDescent="0.3">
      <c r="A421" s="2" t="s">
        <v>107</v>
      </c>
    </row>
    <row r="422" spans="1:1" x14ac:dyDescent="0.3">
      <c r="A422" s="2" t="s">
        <v>107</v>
      </c>
    </row>
    <row r="423" spans="1:1" x14ac:dyDescent="0.3">
      <c r="A423" s="2" t="s">
        <v>108</v>
      </c>
    </row>
    <row r="424" spans="1:1" x14ac:dyDescent="0.3">
      <c r="A424" s="2" t="s">
        <v>107</v>
      </c>
    </row>
    <row r="425" spans="1:1" x14ac:dyDescent="0.3">
      <c r="A425" s="2" t="s">
        <v>107</v>
      </c>
    </row>
    <row r="426" spans="1:1" x14ac:dyDescent="0.3">
      <c r="A426" s="2" t="s">
        <v>108</v>
      </c>
    </row>
    <row r="427" spans="1:1" x14ac:dyDescent="0.3">
      <c r="A427" s="2" t="s">
        <v>107</v>
      </c>
    </row>
    <row r="428" spans="1:1" x14ac:dyDescent="0.3">
      <c r="A428" s="2" t="s">
        <v>107</v>
      </c>
    </row>
    <row r="429" spans="1:1" x14ac:dyDescent="0.3">
      <c r="A429" s="2" t="s">
        <v>108</v>
      </c>
    </row>
    <row r="430" spans="1:1" x14ac:dyDescent="0.3">
      <c r="A430" s="2" t="s">
        <v>107</v>
      </c>
    </row>
    <row r="431" spans="1:1" x14ac:dyDescent="0.3">
      <c r="A431" s="2" t="s">
        <v>107</v>
      </c>
    </row>
    <row r="432" spans="1:1" x14ac:dyDescent="0.3">
      <c r="A432" s="2" t="s">
        <v>108</v>
      </c>
    </row>
    <row r="433" spans="1:1" x14ac:dyDescent="0.3">
      <c r="A433" s="2" t="s">
        <v>107</v>
      </c>
    </row>
    <row r="434" spans="1:1" x14ac:dyDescent="0.3">
      <c r="A434" s="2" t="s">
        <v>107</v>
      </c>
    </row>
    <row r="435" spans="1:1" x14ac:dyDescent="0.3">
      <c r="A435" s="2" t="s">
        <v>108</v>
      </c>
    </row>
    <row r="436" spans="1:1" x14ac:dyDescent="0.3">
      <c r="A436" s="2" t="s">
        <v>107</v>
      </c>
    </row>
    <row r="437" spans="1:1" x14ac:dyDescent="0.3">
      <c r="A437" s="2" t="s">
        <v>107</v>
      </c>
    </row>
    <row r="438" spans="1:1" x14ac:dyDescent="0.3">
      <c r="A438" s="2" t="s">
        <v>108</v>
      </c>
    </row>
    <row r="439" spans="1:1" x14ac:dyDescent="0.3">
      <c r="A439" s="2" t="s">
        <v>109</v>
      </c>
    </row>
    <row r="440" spans="1:1" x14ac:dyDescent="0.3">
      <c r="A440" s="2" t="s">
        <v>109</v>
      </c>
    </row>
    <row r="441" spans="1:1" x14ac:dyDescent="0.3">
      <c r="A441" s="2" t="s">
        <v>109</v>
      </c>
    </row>
    <row r="442" spans="1:1" x14ac:dyDescent="0.3">
      <c r="A442" s="2" t="s">
        <v>109</v>
      </c>
    </row>
    <row r="443" spans="1:1" x14ac:dyDescent="0.3">
      <c r="A443" s="2" t="s">
        <v>110</v>
      </c>
    </row>
    <row r="444" spans="1:1" x14ac:dyDescent="0.3">
      <c r="A444" s="2" t="s">
        <v>110</v>
      </c>
    </row>
    <row r="445" spans="1:1" x14ac:dyDescent="0.3">
      <c r="A445" s="2" t="s">
        <v>110</v>
      </c>
    </row>
    <row r="446" spans="1:1" x14ac:dyDescent="0.3">
      <c r="A446" s="2" t="s">
        <v>111</v>
      </c>
    </row>
    <row r="447" spans="1:1" x14ac:dyDescent="0.3">
      <c r="A447" s="2" t="s">
        <v>111</v>
      </c>
    </row>
    <row r="448" spans="1:1" x14ac:dyDescent="0.3">
      <c r="A448" s="2" t="s">
        <v>112</v>
      </c>
    </row>
    <row r="449" spans="1:1" x14ac:dyDescent="0.3">
      <c r="A449" s="2" t="s">
        <v>106</v>
      </c>
    </row>
    <row r="450" spans="1:1" x14ac:dyDescent="0.3">
      <c r="A450" s="2" t="s">
        <v>107</v>
      </c>
    </row>
    <row r="451" spans="1:1" x14ac:dyDescent="0.3">
      <c r="A451" s="2" t="s">
        <v>107</v>
      </c>
    </row>
    <row r="452" spans="1:1" x14ac:dyDescent="0.3">
      <c r="A452" s="2" t="s">
        <v>108</v>
      </c>
    </row>
    <row r="453" spans="1:1" x14ac:dyDescent="0.3">
      <c r="A453" s="2" t="s">
        <v>107</v>
      </c>
    </row>
    <row r="454" spans="1:1" x14ac:dyDescent="0.3">
      <c r="A454" s="2" t="s">
        <v>107</v>
      </c>
    </row>
    <row r="455" spans="1:1" x14ac:dyDescent="0.3">
      <c r="A455" s="2" t="s">
        <v>108</v>
      </c>
    </row>
    <row r="456" spans="1:1" x14ac:dyDescent="0.3">
      <c r="A456" s="2" t="s">
        <v>107</v>
      </c>
    </row>
    <row r="457" spans="1:1" x14ac:dyDescent="0.3">
      <c r="A457" s="2" t="s">
        <v>107</v>
      </c>
    </row>
    <row r="458" spans="1:1" x14ac:dyDescent="0.3">
      <c r="A458" s="2" t="s">
        <v>108</v>
      </c>
    </row>
    <row r="459" spans="1:1" x14ac:dyDescent="0.3">
      <c r="A459" s="2" t="s">
        <v>107</v>
      </c>
    </row>
    <row r="460" spans="1:1" x14ac:dyDescent="0.3">
      <c r="A460" s="2" t="s">
        <v>107</v>
      </c>
    </row>
    <row r="461" spans="1:1" x14ac:dyDescent="0.3">
      <c r="A461" s="2" t="s">
        <v>108</v>
      </c>
    </row>
    <row r="462" spans="1:1" x14ac:dyDescent="0.3">
      <c r="A462" s="2" t="s">
        <v>107</v>
      </c>
    </row>
    <row r="463" spans="1:1" x14ac:dyDescent="0.3">
      <c r="A463" s="2" t="s">
        <v>107</v>
      </c>
    </row>
    <row r="464" spans="1:1" x14ac:dyDescent="0.3">
      <c r="A464" s="2" t="s">
        <v>108</v>
      </c>
    </row>
    <row r="465" spans="1:1" x14ac:dyDescent="0.3">
      <c r="A465" s="2" t="s">
        <v>107</v>
      </c>
    </row>
    <row r="466" spans="1:1" x14ac:dyDescent="0.3">
      <c r="A466" s="2" t="s">
        <v>107</v>
      </c>
    </row>
    <row r="467" spans="1:1" x14ac:dyDescent="0.3">
      <c r="A467" s="2" t="s">
        <v>108</v>
      </c>
    </row>
    <row r="468" spans="1:1" x14ac:dyDescent="0.3">
      <c r="A468" s="2" t="s">
        <v>107</v>
      </c>
    </row>
    <row r="469" spans="1:1" x14ac:dyDescent="0.3">
      <c r="A469" s="2" t="s">
        <v>107</v>
      </c>
    </row>
    <row r="470" spans="1:1" x14ac:dyDescent="0.3">
      <c r="A470" s="2" t="s">
        <v>108</v>
      </c>
    </row>
    <row r="471" spans="1:1" x14ac:dyDescent="0.3">
      <c r="A471" s="2" t="s">
        <v>109</v>
      </c>
    </row>
    <row r="472" spans="1:1" x14ac:dyDescent="0.3">
      <c r="A472" s="2" t="s">
        <v>109</v>
      </c>
    </row>
    <row r="473" spans="1:1" x14ac:dyDescent="0.3">
      <c r="A473" s="2" t="s">
        <v>109</v>
      </c>
    </row>
    <row r="474" spans="1:1" x14ac:dyDescent="0.3">
      <c r="A474" s="2" t="s">
        <v>109</v>
      </c>
    </row>
    <row r="475" spans="1:1" x14ac:dyDescent="0.3">
      <c r="A475" s="2" t="s">
        <v>110</v>
      </c>
    </row>
    <row r="476" spans="1:1" x14ac:dyDescent="0.3">
      <c r="A476" s="2" t="s">
        <v>110</v>
      </c>
    </row>
    <row r="477" spans="1:1" x14ac:dyDescent="0.3">
      <c r="A477" s="2" t="s">
        <v>110</v>
      </c>
    </row>
    <row r="478" spans="1:1" x14ac:dyDescent="0.3">
      <c r="A478" s="2" t="s">
        <v>111</v>
      </c>
    </row>
    <row r="479" spans="1:1" x14ac:dyDescent="0.3">
      <c r="A479" s="2" t="s">
        <v>111</v>
      </c>
    </row>
    <row r="480" spans="1:1" x14ac:dyDescent="0.3">
      <c r="A480" s="2" t="s">
        <v>112</v>
      </c>
    </row>
    <row r="481" spans="1:1" x14ac:dyDescent="0.3">
      <c r="A481" s="2" t="s">
        <v>106</v>
      </c>
    </row>
    <row r="482" spans="1:1" x14ac:dyDescent="0.3">
      <c r="A482" s="2" t="s">
        <v>107</v>
      </c>
    </row>
    <row r="483" spans="1:1" x14ac:dyDescent="0.3">
      <c r="A483" s="2" t="s">
        <v>107</v>
      </c>
    </row>
    <row r="484" spans="1:1" x14ac:dyDescent="0.3">
      <c r="A484" s="2" t="s">
        <v>108</v>
      </c>
    </row>
    <row r="485" spans="1:1" x14ac:dyDescent="0.3">
      <c r="A485" s="2" t="s">
        <v>107</v>
      </c>
    </row>
    <row r="486" spans="1:1" x14ac:dyDescent="0.3">
      <c r="A486" s="2" t="s">
        <v>107</v>
      </c>
    </row>
    <row r="487" spans="1:1" x14ac:dyDescent="0.3">
      <c r="A487" s="2" t="s">
        <v>108</v>
      </c>
    </row>
    <row r="488" spans="1:1" x14ac:dyDescent="0.3">
      <c r="A488" s="2" t="s">
        <v>107</v>
      </c>
    </row>
    <row r="489" spans="1:1" x14ac:dyDescent="0.3">
      <c r="A489" s="2" t="s">
        <v>107</v>
      </c>
    </row>
    <row r="490" spans="1:1" x14ac:dyDescent="0.3">
      <c r="A490" s="2" t="s">
        <v>108</v>
      </c>
    </row>
    <row r="491" spans="1:1" x14ac:dyDescent="0.3">
      <c r="A491" s="2" t="s">
        <v>107</v>
      </c>
    </row>
    <row r="492" spans="1:1" x14ac:dyDescent="0.3">
      <c r="A492" s="2" t="s">
        <v>107</v>
      </c>
    </row>
    <row r="493" spans="1:1" x14ac:dyDescent="0.3">
      <c r="A493" s="2" t="s">
        <v>108</v>
      </c>
    </row>
    <row r="494" spans="1:1" x14ac:dyDescent="0.3">
      <c r="A494" s="2" t="s">
        <v>107</v>
      </c>
    </row>
    <row r="495" spans="1:1" x14ac:dyDescent="0.3">
      <c r="A495" s="2" t="s">
        <v>107</v>
      </c>
    </row>
    <row r="496" spans="1:1" x14ac:dyDescent="0.3">
      <c r="A496" s="2" t="s">
        <v>108</v>
      </c>
    </row>
    <row r="497" spans="1:1" x14ac:dyDescent="0.3">
      <c r="A497" s="2" t="s">
        <v>107</v>
      </c>
    </row>
    <row r="498" spans="1:1" x14ac:dyDescent="0.3">
      <c r="A498" s="2" t="s">
        <v>107</v>
      </c>
    </row>
    <row r="499" spans="1:1" x14ac:dyDescent="0.3">
      <c r="A499" s="2" t="s">
        <v>108</v>
      </c>
    </row>
    <row r="500" spans="1:1" x14ac:dyDescent="0.3">
      <c r="A500" s="2" t="s">
        <v>107</v>
      </c>
    </row>
    <row r="501" spans="1:1" x14ac:dyDescent="0.3">
      <c r="A501" s="2" t="s">
        <v>107</v>
      </c>
    </row>
    <row r="502" spans="1:1" x14ac:dyDescent="0.3">
      <c r="A502" s="2" t="s">
        <v>108</v>
      </c>
    </row>
    <row r="503" spans="1:1" x14ac:dyDescent="0.3">
      <c r="A503" s="2" t="s">
        <v>109</v>
      </c>
    </row>
    <row r="504" spans="1:1" x14ac:dyDescent="0.3">
      <c r="A504" s="2" t="s">
        <v>109</v>
      </c>
    </row>
    <row r="505" spans="1:1" x14ac:dyDescent="0.3">
      <c r="A505" s="2" t="s">
        <v>109</v>
      </c>
    </row>
    <row r="506" spans="1:1" x14ac:dyDescent="0.3">
      <c r="A506" s="2" t="s">
        <v>109</v>
      </c>
    </row>
    <row r="507" spans="1:1" x14ac:dyDescent="0.3">
      <c r="A507" s="2" t="s">
        <v>110</v>
      </c>
    </row>
    <row r="508" spans="1:1" x14ac:dyDescent="0.3">
      <c r="A508" s="2" t="s">
        <v>110</v>
      </c>
    </row>
    <row r="509" spans="1:1" x14ac:dyDescent="0.3">
      <c r="A509" s="2" t="s">
        <v>110</v>
      </c>
    </row>
    <row r="510" spans="1:1" x14ac:dyDescent="0.3">
      <c r="A510" s="2" t="s">
        <v>111</v>
      </c>
    </row>
    <row r="511" spans="1:1" x14ac:dyDescent="0.3">
      <c r="A511" s="2" t="s">
        <v>111</v>
      </c>
    </row>
    <row r="512" spans="1:1" x14ac:dyDescent="0.3">
      <c r="A512" s="2" t="s">
        <v>112</v>
      </c>
    </row>
    <row r="513" spans="1:1" x14ac:dyDescent="0.3">
      <c r="A513" s="2" t="s">
        <v>106</v>
      </c>
    </row>
    <row r="514" spans="1:1" x14ac:dyDescent="0.3">
      <c r="A514" s="2" t="s">
        <v>107</v>
      </c>
    </row>
    <row r="515" spans="1:1" x14ac:dyDescent="0.3">
      <c r="A515" s="2" t="s">
        <v>107</v>
      </c>
    </row>
    <row r="516" spans="1:1" x14ac:dyDescent="0.3">
      <c r="A516" s="2" t="s">
        <v>108</v>
      </c>
    </row>
    <row r="517" spans="1:1" x14ac:dyDescent="0.3">
      <c r="A517" s="2" t="s">
        <v>107</v>
      </c>
    </row>
    <row r="518" spans="1:1" x14ac:dyDescent="0.3">
      <c r="A518" s="2" t="s">
        <v>107</v>
      </c>
    </row>
    <row r="519" spans="1:1" x14ac:dyDescent="0.3">
      <c r="A519" s="2" t="s">
        <v>108</v>
      </c>
    </row>
    <row r="520" spans="1:1" x14ac:dyDescent="0.3">
      <c r="A520" s="2" t="s">
        <v>107</v>
      </c>
    </row>
    <row r="521" spans="1:1" x14ac:dyDescent="0.3">
      <c r="A521" s="2" t="s">
        <v>107</v>
      </c>
    </row>
    <row r="522" spans="1:1" x14ac:dyDescent="0.3">
      <c r="A522" s="2" t="s">
        <v>108</v>
      </c>
    </row>
    <row r="523" spans="1:1" x14ac:dyDescent="0.3">
      <c r="A523" s="2" t="s">
        <v>107</v>
      </c>
    </row>
    <row r="524" spans="1:1" x14ac:dyDescent="0.3">
      <c r="A524" s="2" t="s">
        <v>107</v>
      </c>
    </row>
    <row r="525" spans="1:1" x14ac:dyDescent="0.3">
      <c r="A525" s="2" t="s">
        <v>108</v>
      </c>
    </row>
    <row r="526" spans="1:1" x14ac:dyDescent="0.3">
      <c r="A526" s="2" t="s">
        <v>107</v>
      </c>
    </row>
    <row r="527" spans="1:1" x14ac:dyDescent="0.3">
      <c r="A527" s="2" t="s">
        <v>107</v>
      </c>
    </row>
    <row r="528" spans="1:1" x14ac:dyDescent="0.3">
      <c r="A528" s="2" t="s">
        <v>108</v>
      </c>
    </row>
    <row r="529" spans="1:1" x14ac:dyDescent="0.3">
      <c r="A529" s="2" t="s">
        <v>107</v>
      </c>
    </row>
    <row r="530" spans="1:1" x14ac:dyDescent="0.3">
      <c r="A530" s="2" t="s">
        <v>107</v>
      </c>
    </row>
    <row r="531" spans="1:1" x14ac:dyDescent="0.3">
      <c r="A531" s="2" t="s">
        <v>108</v>
      </c>
    </row>
    <row r="532" spans="1:1" x14ac:dyDescent="0.3">
      <c r="A532" s="2" t="s">
        <v>107</v>
      </c>
    </row>
    <row r="533" spans="1:1" x14ac:dyDescent="0.3">
      <c r="A533" s="2" t="s">
        <v>107</v>
      </c>
    </row>
    <row r="534" spans="1:1" x14ac:dyDescent="0.3">
      <c r="A534" s="2" t="s">
        <v>108</v>
      </c>
    </row>
    <row r="535" spans="1:1" x14ac:dyDescent="0.3">
      <c r="A535" s="2" t="s">
        <v>109</v>
      </c>
    </row>
    <row r="536" spans="1:1" x14ac:dyDescent="0.3">
      <c r="A536" s="2" t="s">
        <v>109</v>
      </c>
    </row>
    <row r="537" spans="1:1" x14ac:dyDescent="0.3">
      <c r="A537" s="2" t="s">
        <v>109</v>
      </c>
    </row>
    <row r="538" spans="1:1" x14ac:dyDescent="0.3">
      <c r="A538" s="2" t="s">
        <v>109</v>
      </c>
    </row>
    <row r="539" spans="1:1" x14ac:dyDescent="0.3">
      <c r="A539" s="2" t="s">
        <v>110</v>
      </c>
    </row>
    <row r="540" spans="1:1" x14ac:dyDescent="0.3">
      <c r="A540" s="2" t="s">
        <v>110</v>
      </c>
    </row>
    <row r="541" spans="1:1" x14ac:dyDescent="0.3">
      <c r="A541" s="2" t="s">
        <v>110</v>
      </c>
    </row>
    <row r="542" spans="1:1" x14ac:dyDescent="0.3">
      <c r="A542" s="2" t="s">
        <v>111</v>
      </c>
    </row>
    <row r="543" spans="1:1" x14ac:dyDescent="0.3">
      <c r="A543" s="2" t="s">
        <v>111</v>
      </c>
    </row>
    <row r="544" spans="1:1" x14ac:dyDescent="0.3">
      <c r="A544" s="2" t="s">
        <v>112</v>
      </c>
    </row>
    <row r="545" spans="1:1" x14ac:dyDescent="0.3">
      <c r="A545" s="2" t="s">
        <v>106</v>
      </c>
    </row>
    <row r="546" spans="1:1" x14ac:dyDescent="0.3">
      <c r="A546" s="2" t="s">
        <v>107</v>
      </c>
    </row>
    <row r="547" spans="1:1" x14ac:dyDescent="0.3">
      <c r="A547" s="2" t="s">
        <v>107</v>
      </c>
    </row>
    <row r="548" spans="1:1" x14ac:dyDescent="0.3">
      <c r="A548" s="2" t="s">
        <v>108</v>
      </c>
    </row>
    <row r="549" spans="1:1" x14ac:dyDescent="0.3">
      <c r="A549" s="2" t="s">
        <v>107</v>
      </c>
    </row>
    <row r="550" spans="1:1" x14ac:dyDescent="0.3">
      <c r="A550" s="2" t="s">
        <v>107</v>
      </c>
    </row>
    <row r="551" spans="1:1" x14ac:dyDescent="0.3">
      <c r="A551" s="2" t="s">
        <v>108</v>
      </c>
    </row>
    <row r="552" spans="1:1" x14ac:dyDescent="0.3">
      <c r="A552" s="2" t="s">
        <v>107</v>
      </c>
    </row>
    <row r="553" spans="1:1" x14ac:dyDescent="0.3">
      <c r="A553" s="2" t="s">
        <v>107</v>
      </c>
    </row>
    <row r="554" spans="1:1" x14ac:dyDescent="0.3">
      <c r="A554" s="2" t="s">
        <v>108</v>
      </c>
    </row>
    <row r="555" spans="1:1" x14ac:dyDescent="0.3">
      <c r="A555" s="2" t="s">
        <v>107</v>
      </c>
    </row>
    <row r="556" spans="1:1" x14ac:dyDescent="0.3">
      <c r="A556" s="2" t="s">
        <v>107</v>
      </c>
    </row>
    <row r="557" spans="1:1" x14ac:dyDescent="0.3">
      <c r="A557" s="2" t="s">
        <v>108</v>
      </c>
    </row>
    <row r="558" spans="1:1" x14ac:dyDescent="0.3">
      <c r="A558" s="2" t="s">
        <v>107</v>
      </c>
    </row>
    <row r="559" spans="1:1" x14ac:dyDescent="0.3">
      <c r="A559" s="2" t="s">
        <v>107</v>
      </c>
    </row>
    <row r="560" spans="1:1" x14ac:dyDescent="0.3">
      <c r="A560" s="2" t="s">
        <v>108</v>
      </c>
    </row>
    <row r="561" spans="1:1" x14ac:dyDescent="0.3">
      <c r="A561" s="2" t="s">
        <v>107</v>
      </c>
    </row>
    <row r="562" spans="1:1" x14ac:dyDescent="0.3">
      <c r="A562" s="2" t="s">
        <v>107</v>
      </c>
    </row>
    <row r="563" spans="1:1" x14ac:dyDescent="0.3">
      <c r="A563" s="2" t="s">
        <v>108</v>
      </c>
    </row>
    <row r="564" spans="1:1" x14ac:dyDescent="0.3">
      <c r="A564" s="2" t="s">
        <v>107</v>
      </c>
    </row>
    <row r="565" spans="1:1" x14ac:dyDescent="0.3">
      <c r="A565" s="2" t="s">
        <v>107</v>
      </c>
    </row>
    <row r="566" spans="1:1" x14ac:dyDescent="0.3">
      <c r="A566" s="2" t="s">
        <v>108</v>
      </c>
    </row>
    <row r="567" spans="1:1" x14ac:dyDescent="0.3">
      <c r="A567" s="2" t="s">
        <v>109</v>
      </c>
    </row>
    <row r="568" spans="1:1" x14ac:dyDescent="0.3">
      <c r="A568" s="2" t="s">
        <v>109</v>
      </c>
    </row>
    <row r="569" spans="1:1" x14ac:dyDescent="0.3">
      <c r="A569" s="2" t="s">
        <v>109</v>
      </c>
    </row>
    <row r="570" spans="1:1" x14ac:dyDescent="0.3">
      <c r="A570" s="2" t="s">
        <v>109</v>
      </c>
    </row>
    <row r="571" spans="1:1" x14ac:dyDescent="0.3">
      <c r="A571" s="2" t="s">
        <v>110</v>
      </c>
    </row>
    <row r="572" spans="1:1" x14ac:dyDescent="0.3">
      <c r="A572" s="2" t="s">
        <v>110</v>
      </c>
    </row>
    <row r="573" spans="1:1" x14ac:dyDescent="0.3">
      <c r="A573" s="2" t="s">
        <v>110</v>
      </c>
    </row>
    <row r="574" spans="1:1" x14ac:dyDescent="0.3">
      <c r="A574" s="2" t="s">
        <v>111</v>
      </c>
    </row>
    <row r="575" spans="1:1" x14ac:dyDescent="0.3">
      <c r="A575" s="2" t="s">
        <v>111</v>
      </c>
    </row>
    <row r="576" spans="1:1" x14ac:dyDescent="0.3">
      <c r="A576" s="2" t="s">
        <v>112</v>
      </c>
    </row>
    <row r="577" spans="1:1" x14ac:dyDescent="0.3">
      <c r="A577" s="2" t="s">
        <v>106</v>
      </c>
    </row>
    <row r="578" spans="1:1" x14ac:dyDescent="0.3">
      <c r="A578" s="2" t="s">
        <v>107</v>
      </c>
    </row>
    <row r="579" spans="1:1" x14ac:dyDescent="0.3">
      <c r="A579" s="2" t="s">
        <v>107</v>
      </c>
    </row>
    <row r="580" spans="1:1" x14ac:dyDescent="0.3">
      <c r="A580" s="2" t="s">
        <v>108</v>
      </c>
    </row>
    <row r="581" spans="1:1" x14ac:dyDescent="0.3">
      <c r="A581" s="2" t="s">
        <v>107</v>
      </c>
    </row>
    <row r="582" spans="1:1" x14ac:dyDescent="0.3">
      <c r="A582" s="2" t="s">
        <v>107</v>
      </c>
    </row>
    <row r="583" spans="1:1" x14ac:dyDescent="0.3">
      <c r="A583" s="2" t="s">
        <v>108</v>
      </c>
    </row>
    <row r="584" spans="1:1" x14ac:dyDescent="0.3">
      <c r="A584" s="2" t="s">
        <v>107</v>
      </c>
    </row>
    <row r="585" spans="1:1" x14ac:dyDescent="0.3">
      <c r="A585" s="2" t="s">
        <v>107</v>
      </c>
    </row>
    <row r="586" spans="1:1" x14ac:dyDescent="0.3">
      <c r="A586" s="2" t="s">
        <v>108</v>
      </c>
    </row>
    <row r="587" spans="1:1" x14ac:dyDescent="0.3">
      <c r="A587" s="2" t="s">
        <v>107</v>
      </c>
    </row>
    <row r="588" spans="1:1" x14ac:dyDescent="0.3">
      <c r="A588" s="2" t="s">
        <v>107</v>
      </c>
    </row>
    <row r="589" spans="1:1" x14ac:dyDescent="0.3">
      <c r="A589" s="2" t="s">
        <v>108</v>
      </c>
    </row>
    <row r="590" spans="1:1" x14ac:dyDescent="0.3">
      <c r="A590" s="2" t="s">
        <v>107</v>
      </c>
    </row>
    <row r="591" spans="1:1" x14ac:dyDescent="0.3">
      <c r="A591" s="2" t="s">
        <v>107</v>
      </c>
    </row>
    <row r="592" spans="1:1" x14ac:dyDescent="0.3">
      <c r="A592" s="2" t="s">
        <v>108</v>
      </c>
    </row>
    <row r="593" spans="1:1" x14ac:dyDescent="0.3">
      <c r="A593" s="2" t="s">
        <v>107</v>
      </c>
    </row>
    <row r="594" spans="1:1" x14ac:dyDescent="0.3">
      <c r="A594" s="2" t="s">
        <v>107</v>
      </c>
    </row>
    <row r="595" spans="1:1" x14ac:dyDescent="0.3">
      <c r="A595" s="2" t="s">
        <v>108</v>
      </c>
    </row>
    <row r="596" spans="1:1" x14ac:dyDescent="0.3">
      <c r="A596" s="2" t="s">
        <v>107</v>
      </c>
    </row>
    <row r="597" spans="1:1" x14ac:dyDescent="0.3">
      <c r="A597" s="2" t="s">
        <v>107</v>
      </c>
    </row>
    <row r="598" spans="1:1" x14ac:dyDescent="0.3">
      <c r="A598" s="2" t="s">
        <v>108</v>
      </c>
    </row>
    <row r="599" spans="1:1" x14ac:dyDescent="0.3">
      <c r="A599" s="2" t="s">
        <v>109</v>
      </c>
    </row>
    <row r="600" spans="1:1" x14ac:dyDescent="0.3">
      <c r="A600" s="2" t="s">
        <v>109</v>
      </c>
    </row>
    <row r="601" spans="1:1" x14ac:dyDescent="0.3">
      <c r="A601" s="2" t="s">
        <v>109</v>
      </c>
    </row>
    <row r="602" spans="1:1" x14ac:dyDescent="0.3">
      <c r="A602" s="2" t="s">
        <v>109</v>
      </c>
    </row>
    <row r="603" spans="1:1" x14ac:dyDescent="0.3">
      <c r="A603" s="2" t="s">
        <v>110</v>
      </c>
    </row>
    <row r="604" spans="1:1" x14ac:dyDescent="0.3">
      <c r="A604" s="2" t="s">
        <v>110</v>
      </c>
    </row>
    <row r="605" spans="1:1" x14ac:dyDescent="0.3">
      <c r="A605" s="2" t="s">
        <v>110</v>
      </c>
    </row>
    <row r="606" spans="1:1" x14ac:dyDescent="0.3">
      <c r="A606" s="2" t="s">
        <v>111</v>
      </c>
    </row>
    <row r="607" spans="1:1" x14ac:dyDescent="0.3">
      <c r="A607" s="2" t="s">
        <v>111</v>
      </c>
    </row>
    <row r="608" spans="1:1" x14ac:dyDescent="0.3">
      <c r="A608" s="2" t="s">
        <v>112</v>
      </c>
    </row>
    <row r="609" spans="1:1" x14ac:dyDescent="0.3">
      <c r="A609" s="2" t="s">
        <v>106</v>
      </c>
    </row>
    <row r="610" spans="1:1" x14ac:dyDescent="0.3">
      <c r="A610" s="2" t="s">
        <v>107</v>
      </c>
    </row>
    <row r="611" spans="1:1" x14ac:dyDescent="0.3">
      <c r="A611" s="2" t="s">
        <v>107</v>
      </c>
    </row>
    <row r="612" spans="1:1" x14ac:dyDescent="0.3">
      <c r="A612" s="2" t="s">
        <v>108</v>
      </c>
    </row>
    <row r="613" spans="1:1" x14ac:dyDescent="0.3">
      <c r="A613" s="2" t="s">
        <v>107</v>
      </c>
    </row>
    <row r="614" spans="1:1" x14ac:dyDescent="0.3">
      <c r="A614" s="2" t="s">
        <v>107</v>
      </c>
    </row>
    <row r="615" spans="1:1" x14ac:dyDescent="0.3">
      <c r="A615" s="2" t="s">
        <v>108</v>
      </c>
    </row>
    <row r="616" spans="1:1" x14ac:dyDescent="0.3">
      <c r="A616" s="2" t="s">
        <v>107</v>
      </c>
    </row>
    <row r="617" spans="1:1" x14ac:dyDescent="0.3">
      <c r="A617" s="2" t="s">
        <v>107</v>
      </c>
    </row>
    <row r="618" spans="1:1" x14ac:dyDescent="0.3">
      <c r="A618" s="2" t="s">
        <v>108</v>
      </c>
    </row>
    <row r="619" spans="1:1" x14ac:dyDescent="0.3">
      <c r="A619" s="2" t="s">
        <v>107</v>
      </c>
    </row>
    <row r="620" spans="1:1" x14ac:dyDescent="0.3">
      <c r="A620" s="2" t="s">
        <v>107</v>
      </c>
    </row>
    <row r="621" spans="1:1" x14ac:dyDescent="0.3">
      <c r="A621" s="2" t="s">
        <v>108</v>
      </c>
    </row>
    <row r="622" spans="1:1" x14ac:dyDescent="0.3">
      <c r="A622" s="2" t="s">
        <v>107</v>
      </c>
    </row>
    <row r="623" spans="1:1" x14ac:dyDescent="0.3">
      <c r="A623" s="2" t="s">
        <v>107</v>
      </c>
    </row>
    <row r="624" spans="1:1" x14ac:dyDescent="0.3">
      <c r="A624" s="2" t="s">
        <v>108</v>
      </c>
    </row>
    <row r="625" spans="1:1" x14ac:dyDescent="0.3">
      <c r="A625" s="2" t="s">
        <v>107</v>
      </c>
    </row>
    <row r="626" spans="1:1" x14ac:dyDescent="0.3">
      <c r="A626" s="2" t="s">
        <v>107</v>
      </c>
    </row>
    <row r="627" spans="1:1" x14ac:dyDescent="0.3">
      <c r="A627" s="2" t="s">
        <v>108</v>
      </c>
    </row>
    <row r="628" spans="1:1" x14ac:dyDescent="0.3">
      <c r="A628" s="2" t="s">
        <v>107</v>
      </c>
    </row>
    <row r="629" spans="1:1" x14ac:dyDescent="0.3">
      <c r="A629" s="2" t="s">
        <v>107</v>
      </c>
    </row>
    <row r="630" spans="1:1" x14ac:dyDescent="0.3">
      <c r="A630" s="2" t="s">
        <v>108</v>
      </c>
    </row>
    <row r="631" spans="1:1" x14ac:dyDescent="0.3">
      <c r="A631" s="2" t="s">
        <v>109</v>
      </c>
    </row>
    <row r="632" spans="1:1" x14ac:dyDescent="0.3">
      <c r="A632" s="2" t="s">
        <v>109</v>
      </c>
    </row>
    <row r="633" spans="1:1" x14ac:dyDescent="0.3">
      <c r="A633" s="2" t="s">
        <v>109</v>
      </c>
    </row>
    <row r="634" spans="1:1" x14ac:dyDescent="0.3">
      <c r="A634" s="2" t="s">
        <v>109</v>
      </c>
    </row>
    <row r="635" spans="1:1" x14ac:dyDescent="0.3">
      <c r="A635" s="2" t="s">
        <v>110</v>
      </c>
    </row>
    <row r="636" spans="1:1" x14ac:dyDescent="0.3">
      <c r="A636" s="2" t="s">
        <v>110</v>
      </c>
    </row>
    <row r="637" spans="1:1" x14ac:dyDescent="0.3">
      <c r="A637" s="2" t="s">
        <v>110</v>
      </c>
    </row>
    <row r="638" spans="1:1" x14ac:dyDescent="0.3">
      <c r="A638" s="2" t="s">
        <v>111</v>
      </c>
    </row>
    <row r="639" spans="1:1" x14ac:dyDescent="0.3">
      <c r="A639" s="2" t="s">
        <v>111</v>
      </c>
    </row>
    <row r="640" spans="1:1" x14ac:dyDescent="0.3">
      <c r="A640" s="2" t="s">
        <v>112</v>
      </c>
    </row>
    <row r="641" spans="1:1" x14ac:dyDescent="0.3">
      <c r="A641" s="2" t="s">
        <v>106</v>
      </c>
    </row>
    <row r="642" spans="1:1" x14ac:dyDescent="0.3">
      <c r="A642" s="2" t="s">
        <v>107</v>
      </c>
    </row>
    <row r="643" spans="1:1" x14ac:dyDescent="0.3">
      <c r="A643" s="2" t="s">
        <v>107</v>
      </c>
    </row>
    <row r="644" spans="1:1" x14ac:dyDescent="0.3">
      <c r="A644" s="2" t="s">
        <v>108</v>
      </c>
    </row>
    <row r="645" spans="1:1" x14ac:dyDescent="0.3">
      <c r="A645" s="2" t="s">
        <v>107</v>
      </c>
    </row>
    <row r="646" spans="1:1" x14ac:dyDescent="0.3">
      <c r="A646" s="2" t="s">
        <v>107</v>
      </c>
    </row>
    <row r="647" spans="1:1" x14ac:dyDescent="0.3">
      <c r="A647" s="2" t="s">
        <v>108</v>
      </c>
    </row>
    <row r="648" spans="1:1" x14ac:dyDescent="0.3">
      <c r="A648" s="2" t="s">
        <v>107</v>
      </c>
    </row>
    <row r="649" spans="1:1" x14ac:dyDescent="0.3">
      <c r="A649" s="2" t="s">
        <v>108</v>
      </c>
    </row>
    <row r="650" spans="1:1" x14ac:dyDescent="0.3">
      <c r="A650" s="2" t="s">
        <v>107</v>
      </c>
    </row>
    <row r="651" spans="1:1" x14ac:dyDescent="0.3">
      <c r="A651" s="2" t="s">
        <v>108</v>
      </c>
    </row>
    <row r="652" spans="1:1" x14ac:dyDescent="0.3">
      <c r="A652" s="2" t="s">
        <v>107</v>
      </c>
    </row>
    <row r="653" spans="1:1" x14ac:dyDescent="0.3">
      <c r="A653" s="2" t="s">
        <v>108</v>
      </c>
    </row>
    <row r="654" spans="1:1" x14ac:dyDescent="0.3">
      <c r="A654" s="2" t="s">
        <v>107</v>
      </c>
    </row>
    <row r="655" spans="1:1" x14ac:dyDescent="0.3">
      <c r="A655" s="2" t="s">
        <v>108</v>
      </c>
    </row>
    <row r="656" spans="1:1" x14ac:dyDescent="0.3">
      <c r="A656" s="2" t="s">
        <v>107</v>
      </c>
    </row>
    <row r="657" spans="1:1" x14ac:dyDescent="0.3">
      <c r="A657" s="2" t="s">
        <v>108</v>
      </c>
    </row>
    <row r="658" spans="1:1" x14ac:dyDescent="0.3">
      <c r="A658" s="2" t="s">
        <v>107</v>
      </c>
    </row>
    <row r="659" spans="1:1" x14ac:dyDescent="0.3">
      <c r="A659" s="2" t="s">
        <v>108</v>
      </c>
    </row>
    <row r="660" spans="1:1" x14ac:dyDescent="0.3">
      <c r="A660" s="2" t="s">
        <v>107</v>
      </c>
    </row>
    <row r="661" spans="1:1" x14ac:dyDescent="0.3">
      <c r="A661" s="2" t="s">
        <v>108</v>
      </c>
    </row>
    <row r="662" spans="1:1" x14ac:dyDescent="0.3">
      <c r="A662" s="2" t="s">
        <v>107</v>
      </c>
    </row>
    <row r="663" spans="1:1" x14ac:dyDescent="0.3">
      <c r="A663" s="2" t="s">
        <v>108</v>
      </c>
    </row>
    <row r="664" spans="1:1" x14ac:dyDescent="0.3">
      <c r="A664" s="2" t="s">
        <v>107</v>
      </c>
    </row>
    <row r="665" spans="1:1" x14ac:dyDescent="0.3">
      <c r="A665" s="2" t="s">
        <v>108</v>
      </c>
    </row>
    <row r="666" spans="1:1" x14ac:dyDescent="0.3">
      <c r="A666" s="2" t="s">
        <v>107</v>
      </c>
    </row>
    <row r="667" spans="1:1" x14ac:dyDescent="0.3">
      <c r="A667" s="2" t="s">
        <v>108</v>
      </c>
    </row>
    <row r="668" spans="1:1" x14ac:dyDescent="0.3">
      <c r="A668" s="2" t="s">
        <v>107</v>
      </c>
    </row>
    <row r="669" spans="1:1" x14ac:dyDescent="0.3">
      <c r="A669" s="2" t="s">
        <v>108</v>
      </c>
    </row>
    <row r="670" spans="1:1" x14ac:dyDescent="0.3">
      <c r="A670" s="2" t="s">
        <v>107</v>
      </c>
    </row>
    <row r="671" spans="1:1" x14ac:dyDescent="0.3">
      <c r="A671" s="2" t="s">
        <v>108</v>
      </c>
    </row>
    <row r="672" spans="1:1" x14ac:dyDescent="0.3">
      <c r="A672" s="2" t="s">
        <v>107</v>
      </c>
    </row>
    <row r="673" spans="1:1" x14ac:dyDescent="0.3">
      <c r="A673" s="2" t="s">
        <v>108</v>
      </c>
    </row>
    <row r="674" spans="1:1" x14ac:dyDescent="0.3">
      <c r="A674" s="2" t="s">
        <v>107</v>
      </c>
    </row>
    <row r="675" spans="1:1" x14ac:dyDescent="0.3">
      <c r="A675" s="2" t="s">
        <v>108</v>
      </c>
    </row>
    <row r="676" spans="1:1" x14ac:dyDescent="0.3">
      <c r="A676" s="2" t="s">
        <v>107</v>
      </c>
    </row>
    <row r="677" spans="1:1" x14ac:dyDescent="0.3">
      <c r="A677" s="2" t="s">
        <v>108</v>
      </c>
    </row>
    <row r="678" spans="1:1" x14ac:dyDescent="0.3">
      <c r="A678" s="2" t="s">
        <v>107</v>
      </c>
    </row>
    <row r="679" spans="1:1" x14ac:dyDescent="0.3">
      <c r="A679" s="2" t="s">
        <v>108</v>
      </c>
    </row>
    <row r="680" spans="1:1" x14ac:dyDescent="0.3">
      <c r="A680" s="2" t="s">
        <v>107</v>
      </c>
    </row>
    <row r="681" spans="1:1" x14ac:dyDescent="0.3">
      <c r="A681" s="2" t="s">
        <v>108</v>
      </c>
    </row>
    <row r="682" spans="1:1" x14ac:dyDescent="0.3">
      <c r="A682" s="2" t="s">
        <v>107</v>
      </c>
    </row>
    <row r="683" spans="1:1" x14ac:dyDescent="0.3">
      <c r="A683" s="2" t="s">
        <v>108</v>
      </c>
    </row>
    <row r="684" spans="1:1" x14ac:dyDescent="0.3">
      <c r="A684" s="2" t="s">
        <v>107</v>
      </c>
    </row>
    <row r="685" spans="1:1" x14ac:dyDescent="0.3">
      <c r="A685" s="2" t="s">
        <v>108</v>
      </c>
    </row>
    <row r="686" spans="1:1" x14ac:dyDescent="0.3">
      <c r="A686" s="2" t="s">
        <v>107</v>
      </c>
    </row>
    <row r="687" spans="1:1" x14ac:dyDescent="0.3">
      <c r="A687" s="2" t="s">
        <v>108</v>
      </c>
    </row>
    <row r="688" spans="1:1" x14ac:dyDescent="0.3">
      <c r="A688" s="2" t="s">
        <v>107</v>
      </c>
    </row>
    <row r="689" spans="1:1" x14ac:dyDescent="0.3">
      <c r="A689" s="2" t="s">
        <v>108</v>
      </c>
    </row>
    <row r="690" spans="1:1" x14ac:dyDescent="0.3">
      <c r="A690" s="2" t="s">
        <v>107</v>
      </c>
    </row>
    <row r="691" spans="1:1" x14ac:dyDescent="0.3">
      <c r="A691" s="2" t="s">
        <v>108</v>
      </c>
    </row>
    <row r="692" spans="1:1" x14ac:dyDescent="0.3">
      <c r="A692" s="2" t="s">
        <v>107</v>
      </c>
    </row>
    <row r="693" spans="1:1" x14ac:dyDescent="0.3">
      <c r="A693" s="2" t="s">
        <v>108</v>
      </c>
    </row>
    <row r="694" spans="1:1" x14ac:dyDescent="0.3">
      <c r="A694" s="2" t="s">
        <v>107</v>
      </c>
    </row>
    <row r="695" spans="1:1" x14ac:dyDescent="0.3">
      <c r="A695" s="2" t="s">
        <v>108</v>
      </c>
    </row>
    <row r="696" spans="1:1" x14ac:dyDescent="0.3">
      <c r="A696" s="2" t="s">
        <v>107</v>
      </c>
    </row>
    <row r="697" spans="1:1" x14ac:dyDescent="0.3">
      <c r="A697" s="2" t="s">
        <v>108</v>
      </c>
    </row>
    <row r="698" spans="1:1" x14ac:dyDescent="0.3">
      <c r="A698" s="2" t="s">
        <v>107</v>
      </c>
    </row>
    <row r="699" spans="1:1" x14ac:dyDescent="0.3">
      <c r="A699" s="2" t="s">
        <v>108</v>
      </c>
    </row>
    <row r="700" spans="1:1" x14ac:dyDescent="0.3">
      <c r="A700" s="2" t="s">
        <v>107</v>
      </c>
    </row>
    <row r="701" spans="1:1" x14ac:dyDescent="0.3">
      <c r="A701" s="2" t="s">
        <v>108</v>
      </c>
    </row>
    <row r="702" spans="1:1" x14ac:dyDescent="0.3">
      <c r="A702" s="2" t="s">
        <v>107</v>
      </c>
    </row>
    <row r="703" spans="1:1" x14ac:dyDescent="0.3">
      <c r="A703" s="2" t="s">
        <v>108</v>
      </c>
    </row>
    <row r="704" spans="1:1" x14ac:dyDescent="0.3">
      <c r="A704" s="2" t="s">
        <v>107</v>
      </c>
    </row>
    <row r="705" spans="1:1" x14ac:dyDescent="0.3">
      <c r="A705" s="2" t="s">
        <v>108</v>
      </c>
    </row>
    <row r="706" spans="1:1" x14ac:dyDescent="0.3">
      <c r="A706" s="2" t="s">
        <v>107</v>
      </c>
    </row>
    <row r="707" spans="1:1" x14ac:dyDescent="0.3">
      <c r="A707" s="2" t="s">
        <v>108</v>
      </c>
    </row>
    <row r="708" spans="1:1" x14ac:dyDescent="0.3">
      <c r="A708" s="2" t="s">
        <v>107</v>
      </c>
    </row>
    <row r="709" spans="1:1" x14ac:dyDescent="0.3">
      <c r="A709" s="2" t="s">
        <v>108</v>
      </c>
    </row>
    <row r="710" spans="1:1" x14ac:dyDescent="0.3">
      <c r="A710" s="2" t="s">
        <v>107</v>
      </c>
    </row>
    <row r="711" spans="1:1" x14ac:dyDescent="0.3">
      <c r="A711" s="2" t="s">
        <v>108</v>
      </c>
    </row>
    <row r="712" spans="1:1" x14ac:dyDescent="0.3">
      <c r="A712" s="2" t="s">
        <v>107</v>
      </c>
    </row>
    <row r="713" spans="1:1" x14ac:dyDescent="0.3">
      <c r="A713" s="2" t="s">
        <v>108</v>
      </c>
    </row>
    <row r="714" spans="1:1" x14ac:dyDescent="0.3">
      <c r="A714" s="2" t="s">
        <v>107</v>
      </c>
    </row>
    <row r="715" spans="1:1" x14ac:dyDescent="0.3">
      <c r="A715" s="2" t="s">
        <v>108</v>
      </c>
    </row>
    <row r="716" spans="1:1" x14ac:dyDescent="0.3">
      <c r="A716" s="2" t="s">
        <v>107</v>
      </c>
    </row>
    <row r="717" spans="1:1" x14ac:dyDescent="0.3">
      <c r="A717" s="2" t="s">
        <v>108</v>
      </c>
    </row>
    <row r="718" spans="1:1" x14ac:dyDescent="0.3">
      <c r="A718" s="2" t="s">
        <v>107</v>
      </c>
    </row>
    <row r="719" spans="1:1" x14ac:dyDescent="0.3">
      <c r="A719" s="2" t="s">
        <v>108</v>
      </c>
    </row>
    <row r="720" spans="1:1" x14ac:dyDescent="0.3">
      <c r="A720" s="2" t="s">
        <v>107</v>
      </c>
    </row>
    <row r="721" spans="1:1" x14ac:dyDescent="0.3">
      <c r="A721" s="2" t="s">
        <v>108</v>
      </c>
    </row>
    <row r="722" spans="1:1" x14ac:dyDescent="0.3">
      <c r="A722" s="2" t="s">
        <v>107</v>
      </c>
    </row>
    <row r="723" spans="1:1" x14ac:dyDescent="0.3">
      <c r="A723" s="2" t="s">
        <v>108</v>
      </c>
    </row>
    <row r="724" spans="1:1" x14ac:dyDescent="0.3">
      <c r="A724" s="2" t="s">
        <v>107</v>
      </c>
    </row>
    <row r="725" spans="1:1" x14ac:dyDescent="0.3">
      <c r="A725" s="2" t="s">
        <v>108</v>
      </c>
    </row>
    <row r="726" spans="1:1" x14ac:dyDescent="0.3">
      <c r="A726" s="2" t="s">
        <v>107</v>
      </c>
    </row>
    <row r="727" spans="1:1" x14ac:dyDescent="0.3">
      <c r="A727" s="2" t="s">
        <v>108</v>
      </c>
    </row>
    <row r="728" spans="1:1" x14ac:dyDescent="0.3">
      <c r="A728" s="2" t="s">
        <v>107</v>
      </c>
    </row>
    <row r="729" spans="1:1" x14ac:dyDescent="0.3">
      <c r="A729" s="2" t="s">
        <v>108</v>
      </c>
    </row>
    <row r="730" spans="1:1" x14ac:dyDescent="0.3">
      <c r="A730" s="2" t="s">
        <v>107</v>
      </c>
    </row>
    <row r="731" spans="1:1" x14ac:dyDescent="0.3">
      <c r="A731" s="2" t="s">
        <v>108</v>
      </c>
    </row>
    <row r="732" spans="1:1" x14ac:dyDescent="0.3">
      <c r="A732" s="2" t="s">
        <v>107</v>
      </c>
    </row>
    <row r="733" spans="1:1" x14ac:dyDescent="0.3">
      <c r="A733" s="2" t="s">
        <v>108</v>
      </c>
    </row>
    <row r="734" spans="1:1" x14ac:dyDescent="0.3">
      <c r="A734" s="2" t="s">
        <v>107</v>
      </c>
    </row>
    <row r="735" spans="1:1" x14ac:dyDescent="0.3">
      <c r="A735" s="2" t="s">
        <v>108</v>
      </c>
    </row>
    <row r="736" spans="1:1" x14ac:dyDescent="0.3">
      <c r="A736" s="2" t="s">
        <v>107</v>
      </c>
    </row>
    <row r="737" spans="1:1" x14ac:dyDescent="0.3">
      <c r="A737" s="2" t="s">
        <v>108</v>
      </c>
    </row>
    <row r="738" spans="1:1" x14ac:dyDescent="0.3">
      <c r="A738" s="2" t="s">
        <v>107</v>
      </c>
    </row>
    <row r="739" spans="1:1" x14ac:dyDescent="0.3">
      <c r="A739" s="2" t="s">
        <v>108</v>
      </c>
    </row>
    <row r="740" spans="1:1" x14ac:dyDescent="0.3">
      <c r="A740" s="2" t="s">
        <v>107</v>
      </c>
    </row>
    <row r="741" spans="1:1" x14ac:dyDescent="0.3">
      <c r="A741" s="2" t="s">
        <v>108</v>
      </c>
    </row>
    <row r="742" spans="1:1" x14ac:dyDescent="0.3">
      <c r="A742" s="2" t="s">
        <v>107</v>
      </c>
    </row>
    <row r="743" spans="1:1" x14ac:dyDescent="0.3">
      <c r="A743" s="2" t="s">
        <v>108</v>
      </c>
    </row>
    <row r="744" spans="1:1" x14ac:dyDescent="0.3">
      <c r="A744" s="2" t="s">
        <v>107</v>
      </c>
    </row>
    <row r="745" spans="1:1" x14ac:dyDescent="0.3">
      <c r="A745" s="2" t="s">
        <v>108</v>
      </c>
    </row>
    <row r="746" spans="1:1" x14ac:dyDescent="0.3">
      <c r="A746" s="2" t="s">
        <v>107</v>
      </c>
    </row>
    <row r="747" spans="1:1" x14ac:dyDescent="0.3">
      <c r="A747" s="2" t="s">
        <v>108</v>
      </c>
    </row>
    <row r="748" spans="1:1" x14ac:dyDescent="0.3">
      <c r="A748" s="2" t="s">
        <v>107</v>
      </c>
    </row>
    <row r="749" spans="1:1" x14ac:dyDescent="0.3">
      <c r="A749" s="2" t="s">
        <v>108</v>
      </c>
    </row>
    <row r="750" spans="1:1" x14ac:dyDescent="0.3">
      <c r="A750" s="2" t="s">
        <v>107</v>
      </c>
    </row>
    <row r="751" spans="1:1" x14ac:dyDescent="0.3">
      <c r="A751" s="2" t="s">
        <v>108</v>
      </c>
    </row>
    <row r="752" spans="1:1" x14ac:dyDescent="0.3">
      <c r="A752" s="2" t="s">
        <v>107</v>
      </c>
    </row>
    <row r="753" spans="1:1" x14ac:dyDescent="0.3">
      <c r="A753" s="2" t="s">
        <v>108</v>
      </c>
    </row>
    <row r="754" spans="1:1" x14ac:dyDescent="0.3">
      <c r="A754" s="2" t="s">
        <v>107</v>
      </c>
    </row>
    <row r="755" spans="1:1" x14ac:dyDescent="0.3">
      <c r="A755" s="2" t="s">
        <v>108</v>
      </c>
    </row>
    <row r="756" spans="1:1" x14ac:dyDescent="0.3">
      <c r="A756" s="2" t="s">
        <v>107</v>
      </c>
    </row>
    <row r="757" spans="1:1" x14ac:dyDescent="0.3">
      <c r="A757" s="2" t="s">
        <v>108</v>
      </c>
    </row>
    <row r="758" spans="1:1" x14ac:dyDescent="0.3">
      <c r="A758" s="2" t="s">
        <v>107</v>
      </c>
    </row>
    <row r="759" spans="1:1" x14ac:dyDescent="0.3">
      <c r="A759" s="2" t="s">
        <v>108</v>
      </c>
    </row>
    <row r="760" spans="1:1" x14ac:dyDescent="0.3">
      <c r="A760" s="2" t="s">
        <v>107</v>
      </c>
    </row>
    <row r="761" spans="1:1" x14ac:dyDescent="0.3">
      <c r="A761" s="2" t="s">
        <v>108</v>
      </c>
    </row>
    <row r="762" spans="1:1" x14ac:dyDescent="0.3">
      <c r="A762" s="2" t="s">
        <v>107</v>
      </c>
    </row>
    <row r="763" spans="1:1" x14ac:dyDescent="0.3">
      <c r="A763" s="2" t="s">
        <v>108</v>
      </c>
    </row>
    <row r="764" spans="1:1" x14ac:dyDescent="0.3">
      <c r="A764" s="2" t="s">
        <v>107</v>
      </c>
    </row>
    <row r="765" spans="1:1" x14ac:dyDescent="0.3">
      <c r="A765" s="2" t="s">
        <v>108</v>
      </c>
    </row>
    <row r="766" spans="1:1" x14ac:dyDescent="0.3">
      <c r="A766" s="2" t="s">
        <v>107</v>
      </c>
    </row>
    <row r="767" spans="1:1" x14ac:dyDescent="0.3">
      <c r="A767" s="2" t="s">
        <v>108</v>
      </c>
    </row>
    <row r="768" spans="1:1" x14ac:dyDescent="0.3">
      <c r="A768" s="2" t="s">
        <v>107</v>
      </c>
    </row>
    <row r="769" spans="1:1" x14ac:dyDescent="0.3">
      <c r="A769" s="2" t="s">
        <v>108</v>
      </c>
    </row>
    <row r="770" spans="1:1" x14ac:dyDescent="0.3">
      <c r="A770" s="2" t="s">
        <v>107</v>
      </c>
    </row>
    <row r="771" spans="1:1" x14ac:dyDescent="0.3">
      <c r="A771" s="2" t="s">
        <v>108</v>
      </c>
    </row>
    <row r="772" spans="1:1" x14ac:dyDescent="0.3">
      <c r="A772" s="2" t="s">
        <v>107</v>
      </c>
    </row>
    <row r="773" spans="1:1" x14ac:dyDescent="0.3">
      <c r="A773" s="2" t="s">
        <v>108</v>
      </c>
    </row>
    <row r="774" spans="1:1" x14ac:dyDescent="0.3">
      <c r="A774" s="2" t="s">
        <v>107</v>
      </c>
    </row>
    <row r="775" spans="1:1" x14ac:dyDescent="0.3">
      <c r="A775" s="2" t="s">
        <v>108</v>
      </c>
    </row>
    <row r="776" spans="1:1" x14ac:dyDescent="0.3">
      <c r="A776" s="2" t="s">
        <v>107</v>
      </c>
    </row>
    <row r="777" spans="1:1" x14ac:dyDescent="0.3">
      <c r="A777" s="2" t="s">
        <v>108</v>
      </c>
    </row>
    <row r="778" spans="1:1" x14ac:dyDescent="0.3">
      <c r="A778" s="2" t="s">
        <v>107</v>
      </c>
    </row>
    <row r="779" spans="1:1" x14ac:dyDescent="0.3">
      <c r="A779" s="2" t="s">
        <v>108</v>
      </c>
    </row>
    <row r="780" spans="1:1" x14ac:dyDescent="0.3">
      <c r="A780" s="2" t="s">
        <v>107</v>
      </c>
    </row>
    <row r="781" spans="1:1" x14ac:dyDescent="0.3">
      <c r="A781" s="2" t="s">
        <v>108</v>
      </c>
    </row>
    <row r="782" spans="1:1" x14ac:dyDescent="0.3">
      <c r="A782" s="2" t="s">
        <v>107</v>
      </c>
    </row>
    <row r="783" spans="1:1" x14ac:dyDescent="0.3">
      <c r="A783" s="2" t="s">
        <v>108</v>
      </c>
    </row>
    <row r="784" spans="1:1" x14ac:dyDescent="0.3">
      <c r="A784" s="2" t="s">
        <v>107</v>
      </c>
    </row>
    <row r="785" spans="1:1" x14ac:dyDescent="0.3">
      <c r="A785" s="2" t="s">
        <v>108</v>
      </c>
    </row>
    <row r="786" spans="1:1" x14ac:dyDescent="0.3">
      <c r="A786" s="2" t="s">
        <v>107</v>
      </c>
    </row>
    <row r="787" spans="1:1" x14ac:dyDescent="0.3">
      <c r="A787" s="2" t="s">
        <v>108</v>
      </c>
    </row>
    <row r="788" spans="1:1" x14ac:dyDescent="0.3">
      <c r="A788" s="2" t="s">
        <v>107</v>
      </c>
    </row>
    <row r="789" spans="1:1" x14ac:dyDescent="0.3">
      <c r="A789" s="2" t="s">
        <v>108</v>
      </c>
    </row>
    <row r="790" spans="1:1" x14ac:dyDescent="0.3">
      <c r="A790" s="2" t="s">
        <v>107</v>
      </c>
    </row>
    <row r="791" spans="1:1" x14ac:dyDescent="0.3">
      <c r="A791" s="2" t="s">
        <v>108</v>
      </c>
    </row>
    <row r="792" spans="1:1" x14ac:dyDescent="0.3">
      <c r="A792" s="2" t="s">
        <v>107</v>
      </c>
    </row>
    <row r="793" spans="1:1" x14ac:dyDescent="0.3">
      <c r="A793" s="2" t="s">
        <v>108</v>
      </c>
    </row>
    <row r="794" spans="1:1" x14ac:dyDescent="0.3">
      <c r="A794" s="2" t="s">
        <v>107</v>
      </c>
    </row>
    <row r="795" spans="1:1" x14ac:dyDescent="0.3">
      <c r="A795" s="2" t="s">
        <v>108</v>
      </c>
    </row>
    <row r="796" spans="1:1" x14ac:dyDescent="0.3">
      <c r="A796" s="2" t="s">
        <v>107</v>
      </c>
    </row>
    <row r="797" spans="1:1" x14ac:dyDescent="0.3">
      <c r="A797" s="2" t="s">
        <v>108</v>
      </c>
    </row>
    <row r="798" spans="1:1" x14ac:dyDescent="0.3">
      <c r="A798" s="2" t="s">
        <v>107</v>
      </c>
    </row>
    <row r="799" spans="1:1" x14ac:dyDescent="0.3">
      <c r="A799" s="2" t="s">
        <v>108</v>
      </c>
    </row>
    <row r="800" spans="1:1" x14ac:dyDescent="0.3">
      <c r="A800" s="2" t="s">
        <v>107</v>
      </c>
    </row>
    <row r="801" spans="1:1" x14ac:dyDescent="0.3">
      <c r="A801" s="2" t="s">
        <v>108</v>
      </c>
    </row>
    <row r="802" spans="1:1" x14ac:dyDescent="0.3">
      <c r="A802" s="2" t="s">
        <v>107</v>
      </c>
    </row>
    <row r="803" spans="1:1" x14ac:dyDescent="0.3">
      <c r="A803" s="2" t="s">
        <v>108</v>
      </c>
    </row>
    <row r="804" spans="1:1" x14ac:dyDescent="0.3">
      <c r="A804" s="2" t="s">
        <v>107</v>
      </c>
    </row>
    <row r="805" spans="1:1" x14ac:dyDescent="0.3">
      <c r="A805" s="2" t="s">
        <v>108</v>
      </c>
    </row>
    <row r="806" spans="1:1" x14ac:dyDescent="0.3">
      <c r="A806" s="2" t="s">
        <v>107</v>
      </c>
    </row>
    <row r="807" spans="1:1" x14ac:dyDescent="0.3">
      <c r="A807" s="2" t="s">
        <v>108</v>
      </c>
    </row>
    <row r="808" spans="1:1" x14ac:dyDescent="0.3">
      <c r="A808" s="2" t="s">
        <v>107</v>
      </c>
    </row>
    <row r="809" spans="1:1" x14ac:dyDescent="0.3">
      <c r="A809" s="2" t="s">
        <v>108</v>
      </c>
    </row>
    <row r="810" spans="1:1" x14ac:dyDescent="0.3">
      <c r="A810" s="2" t="s">
        <v>107</v>
      </c>
    </row>
    <row r="811" spans="1:1" x14ac:dyDescent="0.3">
      <c r="A811" s="2" t="s">
        <v>108</v>
      </c>
    </row>
    <row r="812" spans="1:1" x14ac:dyDescent="0.3">
      <c r="A812" s="2" t="s">
        <v>107</v>
      </c>
    </row>
    <row r="813" spans="1:1" x14ac:dyDescent="0.3">
      <c r="A813" s="2" t="s">
        <v>108</v>
      </c>
    </row>
    <row r="814" spans="1:1" x14ac:dyDescent="0.3">
      <c r="A814" s="2" t="s">
        <v>107</v>
      </c>
    </row>
    <row r="815" spans="1:1" x14ac:dyDescent="0.3">
      <c r="A815" s="2" t="s">
        <v>108</v>
      </c>
    </row>
    <row r="816" spans="1:1" x14ac:dyDescent="0.3">
      <c r="A816" s="2" t="s">
        <v>107</v>
      </c>
    </row>
    <row r="817" spans="1:1" x14ac:dyDescent="0.3">
      <c r="A817" s="2" t="s">
        <v>108</v>
      </c>
    </row>
    <row r="818" spans="1:1" x14ac:dyDescent="0.3">
      <c r="A818" s="2" t="s">
        <v>107</v>
      </c>
    </row>
    <row r="819" spans="1:1" x14ac:dyDescent="0.3">
      <c r="A819" s="2" t="s">
        <v>108</v>
      </c>
    </row>
    <row r="820" spans="1:1" x14ac:dyDescent="0.3">
      <c r="A820" s="2" t="s">
        <v>107</v>
      </c>
    </row>
    <row r="821" spans="1:1" x14ac:dyDescent="0.3">
      <c r="A821" s="2" t="s">
        <v>108</v>
      </c>
    </row>
    <row r="822" spans="1:1" x14ac:dyDescent="0.3">
      <c r="A822" s="2" t="s">
        <v>107</v>
      </c>
    </row>
    <row r="823" spans="1:1" x14ac:dyDescent="0.3">
      <c r="A823" s="2" t="s">
        <v>108</v>
      </c>
    </row>
    <row r="824" spans="1:1" x14ac:dyDescent="0.3">
      <c r="A824" s="2" t="s">
        <v>107</v>
      </c>
    </row>
    <row r="825" spans="1:1" x14ac:dyDescent="0.3">
      <c r="A825" s="2" t="s">
        <v>108</v>
      </c>
    </row>
    <row r="826" spans="1:1" x14ac:dyDescent="0.3">
      <c r="A826" s="2" t="s">
        <v>107</v>
      </c>
    </row>
    <row r="827" spans="1:1" x14ac:dyDescent="0.3">
      <c r="A827" s="2" t="s">
        <v>108</v>
      </c>
    </row>
    <row r="828" spans="1:1" x14ac:dyDescent="0.3">
      <c r="A828" s="2" t="s">
        <v>107</v>
      </c>
    </row>
    <row r="829" spans="1:1" x14ac:dyDescent="0.3">
      <c r="A829" s="2" t="s">
        <v>108</v>
      </c>
    </row>
    <row r="830" spans="1:1" x14ac:dyDescent="0.3">
      <c r="A830" s="2" t="s">
        <v>107</v>
      </c>
    </row>
    <row r="831" spans="1:1" x14ac:dyDescent="0.3">
      <c r="A831" s="2" t="s">
        <v>108</v>
      </c>
    </row>
    <row r="832" spans="1:1" x14ac:dyDescent="0.3">
      <c r="A832" s="2" t="s">
        <v>107</v>
      </c>
    </row>
    <row r="833" spans="1:1" x14ac:dyDescent="0.3">
      <c r="A833" s="2" t="s">
        <v>108</v>
      </c>
    </row>
    <row r="834" spans="1:1" x14ac:dyDescent="0.3">
      <c r="A834" s="2" t="s">
        <v>107</v>
      </c>
    </row>
    <row r="835" spans="1:1" x14ac:dyDescent="0.3">
      <c r="A835" s="2" t="s">
        <v>108</v>
      </c>
    </row>
    <row r="836" spans="1:1" x14ac:dyDescent="0.3">
      <c r="A836" s="2" t="s">
        <v>107</v>
      </c>
    </row>
    <row r="837" spans="1:1" x14ac:dyDescent="0.3">
      <c r="A837" s="2" t="s">
        <v>108</v>
      </c>
    </row>
    <row r="838" spans="1:1" x14ac:dyDescent="0.3">
      <c r="A838" s="2" t="s">
        <v>107</v>
      </c>
    </row>
    <row r="839" spans="1:1" x14ac:dyDescent="0.3">
      <c r="A839" s="2" t="s">
        <v>108</v>
      </c>
    </row>
    <row r="840" spans="1:1" x14ac:dyDescent="0.3">
      <c r="A840" s="2" t="s">
        <v>107</v>
      </c>
    </row>
    <row r="841" spans="1:1" x14ac:dyDescent="0.3">
      <c r="A841" s="2" t="s">
        <v>108</v>
      </c>
    </row>
    <row r="842" spans="1:1" x14ac:dyDescent="0.3">
      <c r="A842" s="2" t="s">
        <v>107</v>
      </c>
    </row>
    <row r="843" spans="1:1" x14ac:dyDescent="0.3">
      <c r="A843" s="2" t="s">
        <v>108</v>
      </c>
    </row>
    <row r="844" spans="1:1" x14ac:dyDescent="0.3">
      <c r="A844" s="2" t="s">
        <v>107</v>
      </c>
    </row>
    <row r="845" spans="1:1" x14ac:dyDescent="0.3">
      <c r="A845" s="2" t="s">
        <v>108</v>
      </c>
    </row>
    <row r="846" spans="1:1" x14ac:dyDescent="0.3">
      <c r="A846" s="2" t="s">
        <v>107</v>
      </c>
    </row>
    <row r="847" spans="1:1" x14ac:dyDescent="0.3">
      <c r="A847" s="2" t="s">
        <v>108</v>
      </c>
    </row>
    <row r="848" spans="1:1" x14ac:dyDescent="0.3">
      <c r="A848" s="2" t="s">
        <v>107</v>
      </c>
    </row>
    <row r="849" spans="1:1" x14ac:dyDescent="0.3">
      <c r="A849" s="2" t="s">
        <v>108</v>
      </c>
    </row>
    <row r="850" spans="1:1" x14ac:dyDescent="0.3">
      <c r="A850" s="2" t="s">
        <v>107</v>
      </c>
    </row>
    <row r="851" spans="1:1" x14ac:dyDescent="0.3">
      <c r="A851" s="2" t="s">
        <v>108</v>
      </c>
    </row>
    <row r="852" spans="1:1" x14ac:dyDescent="0.3">
      <c r="A852" s="2" t="s">
        <v>107</v>
      </c>
    </row>
    <row r="853" spans="1:1" x14ac:dyDescent="0.3">
      <c r="A853" s="2" t="s">
        <v>108</v>
      </c>
    </row>
    <row r="854" spans="1:1" x14ac:dyDescent="0.3">
      <c r="A854" s="2" t="s">
        <v>107</v>
      </c>
    </row>
    <row r="855" spans="1:1" x14ac:dyDescent="0.3">
      <c r="A855" s="2" t="s">
        <v>108</v>
      </c>
    </row>
    <row r="856" spans="1:1" x14ac:dyDescent="0.3">
      <c r="A856" s="2" t="s">
        <v>107</v>
      </c>
    </row>
    <row r="857" spans="1:1" x14ac:dyDescent="0.3">
      <c r="A857" s="2" t="s">
        <v>108</v>
      </c>
    </row>
    <row r="858" spans="1:1" x14ac:dyDescent="0.3">
      <c r="A858" s="2" t="s">
        <v>107</v>
      </c>
    </row>
    <row r="859" spans="1:1" x14ac:dyDescent="0.3">
      <c r="A859" s="2" t="s">
        <v>108</v>
      </c>
    </row>
    <row r="860" spans="1:1" x14ac:dyDescent="0.3">
      <c r="A860" s="2" t="s">
        <v>107</v>
      </c>
    </row>
    <row r="861" spans="1:1" x14ac:dyDescent="0.3">
      <c r="A861" s="2" t="s">
        <v>108</v>
      </c>
    </row>
    <row r="862" spans="1:1" x14ac:dyDescent="0.3">
      <c r="A862" s="2" t="s">
        <v>107</v>
      </c>
    </row>
    <row r="863" spans="1:1" x14ac:dyDescent="0.3">
      <c r="A863" s="2" t="s">
        <v>108</v>
      </c>
    </row>
    <row r="864" spans="1:1" x14ac:dyDescent="0.3">
      <c r="A864" s="2" t="s">
        <v>107</v>
      </c>
    </row>
    <row r="865" spans="1:1" x14ac:dyDescent="0.3">
      <c r="A865" s="2" t="s">
        <v>108</v>
      </c>
    </row>
    <row r="866" spans="1:1" x14ac:dyDescent="0.3">
      <c r="A866" s="2" t="s">
        <v>107</v>
      </c>
    </row>
    <row r="867" spans="1:1" x14ac:dyDescent="0.3">
      <c r="A867" s="2" t="s">
        <v>108</v>
      </c>
    </row>
    <row r="868" spans="1:1" x14ac:dyDescent="0.3">
      <c r="A868" s="2" t="s">
        <v>107</v>
      </c>
    </row>
    <row r="869" spans="1:1" x14ac:dyDescent="0.3">
      <c r="A869" s="2" t="s">
        <v>108</v>
      </c>
    </row>
    <row r="870" spans="1:1" x14ac:dyDescent="0.3">
      <c r="A870" s="2" t="s">
        <v>107</v>
      </c>
    </row>
    <row r="871" spans="1:1" x14ac:dyDescent="0.3">
      <c r="A871" s="2" t="s">
        <v>108</v>
      </c>
    </row>
    <row r="872" spans="1:1" x14ac:dyDescent="0.3">
      <c r="A872" s="2" t="s">
        <v>107</v>
      </c>
    </row>
    <row r="873" spans="1:1" x14ac:dyDescent="0.3">
      <c r="A873" s="2" t="s">
        <v>108</v>
      </c>
    </row>
    <row r="874" spans="1:1" x14ac:dyDescent="0.3">
      <c r="A874" s="2" t="s">
        <v>107</v>
      </c>
    </row>
    <row r="875" spans="1:1" x14ac:dyDescent="0.3">
      <c r="A875" s="2" t="s">
        <v>108</v>
      </c>
    </row>
    <row r="876" spans="1:1" x14ac:dyDescent="0.3">
      <c r="A876" s="2" t="s">
        <v>107</v>
      </c>
    </row>
    <row r="877" spans="1:1" x14ac:dyDescent="0.3">
      <c r="A877" s="2" t="s">
        <v>108</v>
      </c>
    </row>
    <row r="878" spans="1:1" x14ac:dyDescent="0.3">
      <c r="A878" s="2" t="s">
        <v>107</v>
      </c>
    </row>
    <row r="879" spans="1:1" x14ac:dyDescent="0.3">
      <c r="A879" s="2" t="s">
        <v>108</v>
      </c>
    </row>
    <row r="880" spans="1:1" x14ac:dyDescent="0.3">
      <c r="A880" s="2" t="s">
        <v>107</v>
      </c>
    </row>
    <row r="881" spans="1:1" x14ac:dyDescent="0.3">
      <c r="A881" s="2" t="s">
        <v>108</v>
      </c>
    </row>
    <row r="882" spans="1:1" x14ac:dyDescent="0.3">
      <c r="A882" s="2" t="s">
        <v>107</v>
      </c>
    </row>
    <row r="883" spans="1:1" x14ac:dyDescent="0.3">
      <c r="A883" s="2" t="s">
        <v>108</v>
      </c>
    </row>
    <row r="884" spans="1:1" x14ac:dyDescent="0.3">
      <c r="A884" s="2" t="s">
        <v>107</v>
      </c>
    </row>
    <row r="885" spans="1:1" x14ac:dyDescent="0.3">
      <c r="A885" s="2" t="s">
        <v>108</v>
      </c>
    </row>
    <row r="886" spans="1:1" x14ac:dyDescent="0.3">
      <c r="A886" s="2" t="s">
        <v>107</v>
      </c>
    </row>
    <row r="887" spans="1:1" x14ac:dyDescent="0.3">
      <c r="A887" s="2" t="s">
        <v>108</v>
      </c>
    </row>
    <row r="888" spans="1:1" x14ac:dyDescent="0.3">
      <c r="A888" s="2" t="s">
        <v>107</v>
      </c>
    </row>
    <row r="889" spans="1:1" x14ac:dyDescent="0.3">
      <c r="A889" s="2" t="s">
        <v>108</v>
      </c>
    </row>
    <row r="890" spans="1:1" x14ac:dyDescent="0.3">
      <c r="A890" s="2" t="s">
        <v>107</v>
      </c>
    </row>
    <row r="891" spans="1:1" x14ac:dyDescent="0.3">
      <c r="A891" s="2" t="s">
        <v>108</v>
      </c>
    </row>
    <row r="892" spans="1:1" x14ac:dyDescent="0.3">
      <c r="A892" s="2" t="s">
        <v>107</v>
      </c>
    </row>
    <row r="893" spans="1:1" x14ac:dyDescent="0.3">
      <c r="A893" s="2" t="s">
        <v>108</v>
      </c>
    </row>
    <row r="894" spans="1:1" x14ac:dyDescent="0.3">
      <c r="A894" s="2" t="s">
        <v>107</v>
      </c>
    </row>
    <row r="895" spans="1:1" x14ac:dyDescent="0.3">
      <c r="A895" s="2" t="s">
        <v>108</v>
      </c>
    </row>
    <row r="896" spans="1:1" x14ac:dyDescent="0.3">
      <c r="A896" s="2" t="s">
        <v>107</v>
      </c>
    </row>
    <row r="897" spans="1:1" x14ac:dyDescent="0.3">
      <c r="A897" s="2" t="s">
        <v>108</v>
      </c>
    </row>
    <row r="898" spans="1:1" x14ac:dyDescent="0.3">
      <c r="A898" s="2" t="s">
        <v>107</v>
      </c>
    </row>
    <row r="899" spans="1:1" x14ac:dyDescent="0.3">
      <c r="A899" s="2" t="s">
        <v>108</v>
      </c>
    </row>
    <row r="900" spans="1:1" x14ac:dyDescent="0.3">
      <c r="A900" s="2" t="s">
        <v>107</v>
      </c>
    </row>
    <row r="901" spans="1:1" x14ac:dyDescent="0.3">
      <c r="A901" s="2" t="s">
        <v>108</v>
      </c>
    </row>
    <row r="902" spans="1:1" x14ac:dyDescent="0.3">
      <c r="A902" s="2" t="s">
        <v>107</v>
      </c>
    </row>
    <row r="903" spans="1:1" x14ac:dyDescent="0.3">
      <c r="A903" s="2" t="s">
        <v>108</v>
      </c>
    </row>
    <row r="904" spans="1:1" x14ac:dyDescent="0.3">
      <c r="A904" s="2" t="s">
        <v>107</v>
      </c>
    </row>
    <row r="905" spans="1:1" x14ac:dyDescent="0.3">
      <c r="A905" s="2" t="s">
        <v>108</v>
      </c>
    </row>
    <row r="906" spans="1:1" x14ac:dyDescent="0.3">
      <c r="A906" s="2" t="s">
        <v>107</v>
      </c>
    </row>
    <row r="907" spans="1:1" x14ac:dyDescent="0.3">
      <c r="A907" s="2" t="s">
        <v>108</v>
      </c>
    </row>
    <row r="908" spans="1:1" x14ac:dyDescent="0.3">
      <c r="A908" s="2" t="s">
        <v>107</v>
      </c>
    </row>
    <row r="909" spans="1:1" x14ac:dyDescent="0.3">
      <c r="A909" s="2" t="s">
        <v>108</v>
      </c>
    </row>
    <row r="910" spans="1:1" x14ac:dyDescent="0.3">
      <c r="A910" s="2" t="s">
        <v>107</v>
      </c>
    </row>
    <row r="911" spans="1:1" x14ac:dyDescent="0.3">
      <c r="A911" s="2" t="s">
        <v>108</v>
      </c>
    </row>
    <row r="912" spans="1:1" x14ac:dyDescent="0.3">
      <c r="A912" s="2" t="s">
        <v>107</v>
      </c>
    </row>
    <row r="913" spans="1:1" x14ac:dyDescent="0.3">
      <c r="A913" s="2" t="s">
        <v>108</v>
      </c>
    </row>
    <row r="914" spans="1:1" x14ac:dyDescent="0.3">
      <c r="A914" s="2" t="s">
        <v>107</v>
      </c>
    </row>
    <row r="915" spans="1:1" x14ac:dyDescent="0.3">
      <c r="A915" s="2" t="s">
        <v>108</v>
      </c>
    </row>
    <row r="916" spans="1:1" x14ac:dyDescent="0.3">
      <c r="A916" s="2" t="s">
        <v>107</v>
      </c>
    </row>
    <row r="917" spans="1:1" x14ac:dyDescent="0.3">
      <c r="A917" s="2" t="s">
        <v>108</v>
      </c>
    </row>
    <row r="918" spans="1:1" x14ac:dyDescent="0.3">
      <c r="A918" s="2" t="s">
        <v>107</v>
      </c>
    </row>
    <row r="919" spans="1:1" x14ac:dyDescent="0.3">
      <c r="A919" s="2" t="s">
        <v>108</v>
      </c>
    </row>
    <row r="920" spans="1:1" x14ac:dyDescent="0.3">
      <c r="A920" s="2" t="s">
        <v>107</v>
      </c>
    </row>
    <row r="921" spans="1:1" x14ac:dyDescent="0.3">
      <c r="A921" s="2" t="s">
        <v>108</v>
      </c>
    </row>
    <row r="922" spans="1:1" x14ac:dyDescent="0.3">
      <c r="A922" s="2" t="s">
        <v>107</v>
      </c>
    </row>
    <row r="923" spans="1:1" x14ac:dyDescent="0.3">
      <c r="A923" s="2" t="s">
        <v>108</v>
      </c>
    </row>
    <row r="924" spans="1:1" x14ac:dyDescent="0.3">
      <c r="A924" s="2" t="s">
        <v>107</v>
      </c>
    </row>
    <row r="925" spans="1:1" x14ac:dyDescent="0.3">
      <c r="A925" s="2" t="s">
        <v>108</v>
      </c>
    </row>
    <row r="926" spans="1:1" x14ac:dyDescent="0.3">
      <c r="A926" s="2" t="s">
        <v>107</v>
      </c>
    </row>
    <row r="927" spans="1:1" x14ac:dyDescent="0.3">
      <c r="A927" s="2" t="s">
        <v>108</v>
      </c>
    </row>
    <row r="928" spans="1:1" x14ac:dyDescent="0.3">
      <c r="A928" s="2" t="s">
        <v>107</v>
      </c>
    </row>
    <row r="929" spans="1:1" x14ac:dyDescent="0.3">
      <c r="A929" s="2" t="s">
        <v>108</v>
      </c>
    </row>
    <row r="930" spans="1:1" x14ac:dyDescent="0.3">
      <c r="A930" s="2" t="s">
        <v>107</v>
      </c>
    </row>
    <row r="931" spans="1:1" x14ac:dyDescent="0.3">
      <c r="A931" s="2" t="s">
        <v>108</v>
      </c>
    </row>
    <row r="932" spans="1:1" x14ac:dyDescent="0.3">
      <c r="A932" s="2" t="s">
        <v>107</v>
      </c>
    </row>
    <row r="933" spans="1:1" x14ac:dyDescent="0.3">
      <c r="A933" s="2" t="s">
        <v>108</v>
      </c>
    </row>
    <row r="934" spans="1:1" x14ac:dyDescent="0.3">
      <c r="A934" s="2" t="s">
        <v>107</v>
      </c>
    </row>
    <row r="935" spans="1:1" x14ac:dyDescent="0.3">
      <c r="A935" s="2" t="s">
        <v>108</v>
      </c>
    </row>
    <row r="936" spans="1:1" x14ac:dyDescent="0.3">
      <c r="A936" s="2" t="s">
        <v>107</v>
      </c>
    </row>
    <row r="937" spans="1:1" x14ac:dyDescent="0.3">
      <c r="A937" s="2" t="s">
        <v>108</v>
      </c>
    </row>
    <row r="938" spans="1:1" x14ac:dyDescent="0.3">
      <c r="A938" s="2" t="s">
        <v>107</v>
      </c>
    </row>
    <row r="939" spans="1:1" x14ac:dyDescent="0.3">
      <c r="A939" s="2" t="s">
        <v>108</v>
      </c>
    </row>
    <row r="940" spans="1:1" x14ac:dyDescent="0.3">
      <c r="A940" s="2" t="s">
        <v>107</v>
      </c>
    </row>
    <row r="941" spans="1:1" x14ac:dyDescent="0.3">
      <c r="A941" s="2" t="s">
        <v>108</v>
      </c>
    </row>
    <row r="942" spans="1:1" x14ac:dyDescent="0.3">
      <c r="A942" s="2" t="s">
        <v>107</v>
      </c>
    </row>
    <row r="943" spans="1:1" x14ac:dyDescent="0.3">
      <c r="A943" s="2" t="s">
        <v>108</v>
      </c>
    </row>
    <row r="944" spans="1:1" x14ac:dyDescent="0.3">
      <c r="A944" s="2" t="s">
        <v>107</v>
      </c>
    </row>
    <row r="945" spans="1:1" x14ac:dyDescent="0.3">
      <c r="A945" s="2" t="s">
        <v>108</v>
      </c>
    </row>
    <row r="946" spans="1:1" x14ac:dyDescent="0.3">
      <c r="A946" s="2" t="s">
        <v>107</v>
      </c>
    </row>
    <row r="947" spans="1:1" x14ac:dyDescent="0.3">
      <c r="A947" s="2" t="s">
        <v>108</v>
      </c>
    </row>
    <row r="948" spans="1:1" x14ac:dyDescent="0.3">
      <c r="A948" s="2" t="s">
        <v>107</v>
      </c>
    </row>
    <row r="949" spans="1:1" x14ac:dyDescent="0.3">
      <c r="A949" s="2" t="s">
        <v>108</v>
      </c>
    </row>
    <row r="950" spans="1:1" x14ac:dyDescent="0.3">
      <c r="A950" s="2" t="s">
        <v>107</v>
      </c>
    </row>
    <row r="951" spans="1:1" x14ac:dyDescent="0.3">
      <c r="A951" s="2" t="s">
        <v>108</v>
      </c>
    </row>
    <row r="952" spans="1:1" x14ac:dyDescent="0.3">
      <c r="A952" s="2" t="s">
        <v>107</v>
      </c>
    </row>
    <row r="953" spans="1:1" x14ac:dyDescent="0.3">
      <c r="A953" s="2" t="s">
        <v>108</v>
      </c>
    </row>
    <row r="954" spans="1:1" x14ac:dyDescent="0.3">
      <c r="A954" s="2" t="s">
        <v>107</v>
      </c>
    </row>
    <row r="955" spans="1:1" x14ac:dyDescent="0.3">
      <c r="A955" s="2" t="s">
        <v>108</v>
      </c>
    </row>
    <row r="956" spans="1:1" x14ac:dyDescent="0.3">
      <c r="A956" s="2" t="s">
        <v>107</v>
      </c>
    </row>
    <row r="957" spans="1:1" x14ac:dyDescent="0.3">
      <c r="A957" s="2" t="s">
        <v>108</v>
      </c>
    </row>
    <row r="958" spans="1:1" x14ac:dyDescent="0.3">
      <c r="A958" s="2" t="s">
        <v>107</v>
      </c>
    </row>
    <row r="959" spans="1:1" x14ac:dyDescent="0.3">
      <c r="A959" s="2" t="s">
        <v>108</v>
      </c>
    </row>
    <row r="960" spans="1:1" x14ac:dyDescent="0.3">
      <c r="A960" s="2" t="s">
        <v>107</v>
      </c>
    </row>
    <row r="961" spans="1:1" x14ac:dyDescent="0.3">
      <c r="A961" s="2" t="s">
        <v>108</v>
      </c>
    </row>
    <row r="962" spans="1:1" x14ac:dyDescent="0.3">
      <c r="A962" s="2" t="s">
        <v>107</v>
      </c>
    </row>
    <row r="963" spans="1:1" x14ac:dyDescent="0.3">
      <c r="A963" s="2" t="s">
        <v>108</v>
      </c>
    </row>
    <row r="964" spans="1:1" x14ac:dyDescent="0.3">
      <c r="A964" s="2" t="s">
        <v>107</v>
      </c>
    </row>
    <row r="965" spans="1:1" x14ac:dyDescent="0.3">
      <c r="A965" s="2" t="s">
        <v>108</v>
      </c>
    </row>
    <row r="966" spans="1:1" x14ac:dyDescent="0.3">
      <c r="A966" s="2" t="s">
        <v>107</v>
      </c>
    </row>
    <row r="967" spans="1:1" x14ac:dyDescent="0.3">
      <c r="A967" s="2" t="s">
        <v>108</v>
      </c>
    </row>
    <row r="968" spans="1:1" x14ac:dyDescent="0.3">
      <c r="A968" s="2" t="s">
        <v>107</v>
      </c>
    </row>
    <row r="969" spans="1:1" x14ac:dyDescent="0.3">
      <c r="A969" s="2" t="s">
        <v>108</v>
      </c>
    </row>
    <row r="970" spans="1:1" x14ac:dyDescent="0.3">
      <c r="A970" s="2" t="s">
        <v>107</v>
      </c>
    </row>
    <row r="971" spans="1:1" x14ac:dyDescent="0.3">
      <c r="A971" s="2" t="s">
        <v>108</v>
      </c>
    </row>
    <row r="972" spans="1:1" x14ac:dyDescent="0.3">
      <c r="A972" s="2" t="s">
        <v>107</v>
      </c>
    </row>
    <row r="973" spans="1:1" x14ac:dyDescent="0.3">
      <c r="A973" s="2" t="s">
        <v>108</v>
      </c>
    </row>
    <row r="974" spans="1:1" x14ac:dyDescent="0.3">
      <c r="A974" s="2" t="s">
        <v>107</v>
      </c>
    </row>
    <row r="975" spans="1:1" x14ac:dyDescent="0.3">
      <c r="A975" s="2" t="s">
        <v>108</v>
      </c>
    </row>
    <row r="976" spans="1:1" x14ac:dyDescent="0.3">
      <c r="A976" s="2" t="s">
        <v>107</v>
      </c>
    </row>
    <row r="977" spans="1:1" x14ac:dyDescent="0.3">
      <c r="A977" s="2" t="s">
        <v>108</v>
      </c>
    </row>
    <row r="978" spans="1:1" x14ac:dyDescent="0.3">
      <c r="A978" s="2" t="s">
        <v>107</v>
      </c>
    </row>
    <row r="979" spans="1:1" x14ac:dyDescent="0.3">
      <c r="A979" s="2" t="s">
        <v>108</v>
      </c>
    </row>
    <row r="980" spans="1:1" x14ac:dyDescent="0.3">
      <c r="A980" s="2" t="s">
        <v>107</v>
      </c>
    </row>
    <row r="981" spans="1:1" x14ac:dyDescent="0.3">
      <c r="A981" s="2" t="s">
        <v>108</v>
      </c>
    </row>
    <row r="982" spans="1:1" x14ac:dyDescent="0.3">
      <c r="A982" s="2" t="s">
        <v>107</v>
      </c>
    </row>
    <row r="983" spans="1:1" x14ac:dyDescent="0.3">
      <c r="A983" s="2" t="s">
        <v>108</v>
      </c>
    </row>
    <row r="984" spans="1:1" x14ac:dyDescent="0.3">
      <c r="A984" s="2" t="s">
        <v>107</v>
      </c>
    </row>
    <row r="985" spans="1:1" x14ac:dyDescent="0.3">
      <c r="A985" s="2" t="s">
        <v>108</v>
      </c>
    </row>
    <row r="986" spans="1:1" x14ac:dyDescent="0.3">
      <c r="A986" s="2" t="s">
        <v>107</v>
      </c>
    </row>
    <row r="987" spans="1:1" x14ac:dyDescent="0.3">
      <c r="A987" s="2" t="s">
        <v>108</v>
      </c>
    </row>
    <row r="988" spans="1:1" x14ac:dyDescent="0.3">
      <c r="A988" s="2" t="s">
        <v>107</v>
      </c>
    </row>
    <row r="989" spans="1:1" x14ac:dyDescent="0.3">
      <c r="A989" s="2" t="s">
        <v>108</v>
      </c>
    </row>
    <row r="990" spans="1:1" x14ac:dyDescent="0.3">
      <c r="A990" s="2" t="s">
        <v>107</v>
      </c>
    </row>
    <row r="991" spans="1:1" x14ac:dyDescent="0.3">
      <c r="A991" s="2" t="s">
        <v>108</v>
      </c>
    </row>
    <row r="992" spans="1:1" x14ac:dyDescent="0.3">
      <c r="A992" s="2" t="s">
        <v>107</v>
      </c>
    </row>
    <row r="993" spans="1:1" x14ac:dyDescent="0.3">
      <c r="A993" s="2" t="s">
        <v>108</v>
      </c>
    </row>
    <row r="994" spans="1:1" x14ac:dyDescent="0.3">
      <c r="A994" s="2" t="s">
        <v>107</v>
      </c>
    </row>
    <row r="995" spans="1:1" x14ac:dyDescent="0.3">
      <c r="A995" s="2" t="s">
        <v>108</v>
      </c>
    </row>
    <row r="996" spans="1:1" x14ac:dyDescent="0.3">
      <c r="A996" s="2" t="s">
        <v>107</v>
      </c>
    </row>
    <row r="997" spans="1:1" x14ac:dyDescent="0.3">
      <c r="A997" s="2" t="s">
        <v>108</v>
      </c>
    </row>
    <row r="998" spans="1:1" x14ac:dyDescent="0.3">
      <c r="A998" s="2" t="s">
        <v>107</v>
      </c>
    </row>
    <row r="999" spans="1:1" x14ac:dyDescent="0.3">
      <c r="A999" s="2" t="s">
        <v>108</v>
      </c>
    </row>
    <row r="1000" spans="1:1" x14ac:dyDescent="0.3">
      <c r="A1000" s="2" t="s">
        <v>107</v>
      </c>
    </row>
    <row r="1001" spans="1:1" x14ac:dyDescent="0.3">
      <c r="A1001" s="2" t="s">
        <v>108</v>
      </c>
    </row>
    <row r="1002" spans="1:1" x14ac:dyDescent="0.3">
      <c r="A1002" s="2" t="s">
        <v>107</v>
      </c>
    </row>
    <row r="1003" spans="1:1" x14ac:dyDescent="0.3">
      <c r="A1003" s="2" t="s">
        <v>108</v>
      </c>
    </row>
    <row r="1004" spans="1:1" x14ac:dyDescent="0.3">
      <c r="A1004" s="2" t="s">
        <v>107</v>
      </c>
    </row>
    <row r="1005" spans="1:1" x14ac:dyDescent="0.3">
      <c r="A1005" s="2" t="s">
        <v>108</v>
      </c>
    </row>
    <row r="1006" spans="1:1" x14ac:dyDescent="0.3">
      <c r="A1006" s="2" t="s">
        <v>107</v>
      </c>
    </row>
    <row r="1007" spans="1:1" x14ac:dyDescent="0.3">
      <c r="A1007" s="2" t="s">
        <v>108</v>
      </c>
    </row>
    <row r="1008" spans="1:1" x14ac:dyDescent="0.3">
      <c r="A1008" s="2" t="s">
        <v>107</v>
      </c>
    </row>
    <row r="1009" spans="1:1" x14ac:dyDescent="0.3">
      <c r="A1009" s="2" t="s">
        <v>108</v>
      </c>
    </row>
    <row r="1010" spans="1:1" x14ac:dyDescent="0.3">
      <c r="A1010" s="2" t="s">
        <v>107</v>
      </c>
    </row>
    <row r="1011" spans="1:1" x14ac:dyDescent="0.3">
      <c r="A1011" s="2" t="s">
        <v>108</v>
      </c>
    </row>
    <row r="1012" spans="1:1" x14ac:dyDescent="0.3">
      <c r="A1012" s="2" t="s">
        <v>107</v>
      </c>
    </row>
    <row r="1013" spans="1:1" x14ac:dyDescent="0.3">
      <c r="A1013" s="2" t="s">
        <v>108</v>
      </c>
    </row>
    <row r="1014" spans="1:1" x14ac:dyDescent="0.3">
      <c r="A1014" s="2" t="s">
        <v>107</v>
      </c>
    </row>
    <row r="1015" spans="1:1" x14ac:dyDescent="0.3">
      <c r="A1015" s="2" t="s">
        <v>108</v>
      </c>
    </row>
    <row r="1016" spans="1:1" x14ac:dyDescent="0.3">
      <c r="A1016" s="2" t="s">
        <v>107</v>
      </c>
    </row>
    <row r="1017" spans="1:1" x14ac:dyDescent="0.3">
      <c r="A1017" s="2" t="s">
        <v>108</v>
      </c>
    </row>
    <row r="1018" spans="1:1" x14ac:dyDescent="0.3">
      <c r="A1018" s="2" t="s">
        <v>107</v>
      </c>
    </row>
    <row r="1019" spans="1:1" x14ac:dyDescent="0.3">
      <c r="A1019" s="2" t="s">
        <v>108</v>
      </c>
    </row>
    <row r="1020" spans="1:1" x14ac:dyDescent="0.3">
      <c r="A1020" s="2" t="s">
        <v>107</v>
      </c>
    </row>
    <row r="1021" spans="1:1" x14ac:dyDescent="0.3">
      <c r="A1021" s="2" t="s">
        <v>108</v>
      </c>
    </row>
    <row r="1022" spans="1:1" x14ac:dyDescent="0.3">
      <c r="A1022" s="2" t="s">
        <v>107</v>
      </c>
    </row>
    <row r="1023" spans="1:1" x14ac:dyDescent="0.3">
      <c r="A1023" s="2" t="s">
        <v>108</v>
      </c>
    </row>
    <row r="1024" spans="1:1" x14ac:dyDescent="0.3">
      <c r="A1024" s="2" t="s">
        <v>107</v>
      </c>
    </row>
    <row r="1025" spans="1:1" x14ac:dyDescent="0.3">
      <c r="A1025" s="2" t="s">
        <v>108</v>
      </c>
    </row>
    <row r="1026" spans="1:1" x14ac:dyDescent="0.3">
      <c r="A1026" s="2" t="s">
        <v>107</v>
      </c>
    </row>
    <row r="1027" spans="1:1" x14ac:dyDescent="0.3">
      <c r="A1027" s="2" t="s">
        <v>108</v>
      </c>
    </row>
    <row r="1028" spans="1:1" x14ac:dyDescent="0.3">
      <c r="A1028" s="2" t="s">
        <v>107</v>
      </c>
    </row>
    <row r="1029" spans="1:1" x14ac:dyDescent="0.3">
      <c r="A1029" s="2" t="s">
        <v>108</v>
      </c>
    </row>
    <row r="1030" spans="1:1" x14ac:dyDescent="0.3">
      <c r="A1030" s="2" t="s">
        <v>107</v>
      </c>
    </row>
    <row r="1031" spans="1:1" x14ac:dyDescent="0.3">
      <c r="A1031" s="2" t="s">
        <v>108</v>
      </c>
    </row>
    <row r="1032" spans="1:1" x14ac:dyDescent="0.3">
      <c r="A1032" s="2" t="s">
        <v>107</v>
      </c>
    </row>
    <row r="1033" spans="1:1" x14ac:dyDescent="0.3">
      <c r="A1033" s="2" t="s">
        <v>108</v>
      </c>
    </row>
    <row r="1034" spans="1:1" x14ac:dyDescent="0.3">
      <c r="A1034" s="2" t="s">
        <v>107</v>
      </c>
    </row>
    <row r="1035" spans="1:1" x14ac:dyDescent="0.3">
      <c r="A1035" s="2" t="s">
        <v>108</v>
      </c>
    </row>
    <row r="1036" spans="1:1" x14ac:dyDescent="0.3">
      <c r="A1036" s="2" t="s">
        <v>107</v>
      </c>
    </row>
    <row r="1037" spans="1:1" x14ac:dyDescent="0.3">
      <c r="A1037" s="2" t="s">
        <v>108</v>
      </c>
    </row>
    <row r="1038" spans="1:1" x14ac:dyDescent="0.3">
      <c r="A1038" s="2" t="s">
        <v>107</v>
      </c>
    </row>
    <row r="1039" spans="1:1" x14ac:dyDescent="0.3">
      <c r="A1039" s="2" t="s">
        <v>108</v>
      </c>
    </row>
    <row r="1040" spans="1:1" x14ac:dyDescent="0.3">
      <c r="A1040" s="2" t="s">
        <v>107</v>
      </c>
    </row>
    <row r="1041" spans="1:1" x14ac:dyDescent="0.3">
      <c r="A1041" s="2" t="s">
        <v>108</v>
      </c>
    </row>
    <row r="1042" spans="1:1" x14ac:dyDescent="0.3">
      <c r="A1042" s="2" t="s">
        <v>107</v>
      </c>
    </row>
    <row r="1043" spans="1:1" x14ac:dyDescent="0.3">
      <c r="A1043" s="2" t="s">
        <v>108</v>
      </c>
    </row>
    <row r="1044" spans="1:1" x14ac:dyDescent="0.3">
      <c r="A1044" s="2" t="s">
        <v>107</v>
      </c>
    </row>
    <row r="1045" spans="1:1" x14ac:dyDescent="0.3">
      <c r="A1045" s="2" t="s">
        <v>108</v>
      </c>
    </row>
    <row r="1046" spans="1:1" x14ac:dyDescent="0.3">
      <c r="A1046" s="2" t="s">
        <v>107</v>
      </c>
    </row>
    <row r="1047" spans="1:1" x14ac:dyDescent="0.3">
      <c r="A1047" s="2" t="s">
        <v>108</v>
      </c>
    </row>
    <row r="1048" spans="1:1" x14ac:dyDescent="0.3">
      <c r="A1048" s="2" t="s">
        <v>107</v>
      </c>
    </row>
    <row r="1049" spans="1:1" x14ac:dyDescent="0.3">
      <c r="A1049" s="2" t="s">
        <v>108</v>
      </c>
    </row>
    <row r="1050" spans="1:1" x14ac:dyDescent="0.3">
      <c r="A1050" s="2" t="s">
        <v>107</v>
      </c>
    </row>
    <row r="1051" spans="1:1" x14ac:dyDescent="0.3">
      <c r="A1051" s="2" t="s">
        <v>108</v>
      </c>
    </row>
    <row r="1052" spans="1:1" x14ac:dyDescent="0.3">
      <c r="A1052" s="2" t="s">
        <v>107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"/>
  <sheetViews>
    <sheetView workbookViewId="0"/>
  </sheetViews>
  <sheetFormatPr defaultRowHeight="14.4" x14ac:dyDescent="0.3"/>
  <cols>
    <col min="1" max="1" width="22.33203125" style="7" bestFit="1" customWidth="1"/>
    <col min="3" max="3" width="27.6640625" style="2" bestFit="1" customWidth="1"/>
  </cols>
  <sheetData>
    <row r="1" spans="1:3" x14ac:dyDescent="0.3">
      <c r="A1" s="24" t="s">
        <v>45</v>
      </c>
      <c r="C1" s="5" t="s">
        <v>113</v>
      </c>
    </row>
    <row r="2" spans="1:3" x14ac:dyDescent="0.3">
      <c r="A2" s="24">
        <v>76.660378474418522</v>
      </c>
      <c r="C2" s="33">
        <v>40.862281395576701</v>
      </c>
    </row>
    <row r="3" spans="1:3" x14ac:dyDescent="0.3">
      <c r="A3" s="24">
        <v>80.366125452019631</v>
      </c>
      <c r="C3" s="33">
        <v>13.821355179813871</v>
      </c>
    </row>
    <row r="4" spans="1:3" x14ac:dyDescent="0.3">
      <c r="A4" s="24">
        <v>77.246827992891696</v>
      </c>
      <c r="C4" s="33">
        <v>3.9247648496930596</v>
      </c>
    </row>
    <row r="5" spans="1:3" x14ac:dyDescent="0.3">
      <c r="A5" s="24">
        <v>79.072676285051386</v>
      </c>
      <c r="C5" s="33">
        <v>4.062451123201491</v>
      </c>
    </row>
    <row r="6" spans="1:3" x14ac:dyDescent="0.3">
      <c r="A6" s="24">
        <v>77.328159966502412</v>
      </c>
      <c r="C6" s="33">
        <v>5.8935620918415541</v>
      </c>
    </row>
    <row r="7" spans="1:3" x14ac:dyDescent="0.3">
      <c r="A7" s="24">
        <v>76.9757797720425</v>
      </c>
      <c r="C7" s="33">
        <v>5.0520825901830495</v>
      </c>
    </row>
    <row r="8" spans="1:3" x14ac:dyDescent="0.3">
      <c r="A8" s="24">
        <v>78.23239075259734</v>
      </c>
      <c r="C8" s="33">
        <v>4.9521980955026237</v>
      </c>
    </row>
    <row r="9" spans="1:3" x14ac:dyDescent="0.3">
      <c r="A9" s="24">
        <v>78.958511642723167</v>
      </c>
      <c r="C9" s="33">
        <v>4.3711529473506108</v>
      </c>
    </row>
    <row r="10" spans="1:3" x14ac:dyDescent="0.3">
      <c r="A10" s="24">
        <v>76.922328964102377</v>
      </c>
      <c r="C10" s="33">
        <v>53.334310095134889</v>
      </c>
    </row>
    <row r="11" spans="1:3" x14ac:dyDescent="0.3">
      <c r="A11" s="24">
        <v>78.875283111830882</v>
      </c>
      <c r="C11" s="33">
        <v>8.3533419223099656</v>
      </c>
    </row>
    <row r="12" spans="1:3" x14ac:dyDescent="0.3">
      <c r="A12" s="24">
        <v>77.693560476007931</v>
      </c>
      <c r="C12" s="33">
        <v>18.378878295136893</v>
      </c>
    </row>
    <row r="13" spans="1:3" x14ac:dyDescent="0.3">
      <c r="A13" s="24">
        <v>77.253200300864762</v>
      </c>
      <c r="C13" s="33">
        <v>11.873790596797164</v>
      </c>
    </row>
    <row r="14" spans="1:3" x14ac:dyDescent="0.3">
      <c r="A14" s="24">
        <v>77.803621727204302</v>
      </c>
      <c r="C14" s="33">
        <v>7.2938690502653136</v>
      </c>
    </row>
    <row r="15" spans="1:3" x14ac:dyDescent="0.3">
      <c r="A15" s="24">
        <v>78.656680811472341</v>
      </c>
      <c r="C15" s="33">
        <v>2.0690462289224136</v>
      </c>
    </row>
    <row r="16" spans="1:3" x14ac:dyDescent="0.3">
      <c r="A16" s="24">
        <v>77.182051423502415</v>
      </c>
      <c r="C16" s="33">
        <v>16.037874512681679</v>
      </c>
    </row>
    <row r="17" spans="1:3" x14ac:dyDescent="0.3">
      <c r="A17" s="24">
        <v>77.07925734426658</v>
      </c>
      <c r="C17" s="33">
        <v>7.1408722161279305</v>
      </c>
    </row>
    <row r="18" spans="1:3" x14ac:dyDescent="0.3">
      <c r="A18" s="24">
        <v>75.824626316366945</v>
      </c>
      <c r="C18" s="33">
        <v>20.223955718447691</v>
      </c>
    </row>
    <row r="19" spans="1:3" x14ac:dyDescent="0.3">
      <c r="A19" s="24">
        <v>78.027951787696878</v>
      </c>
      <c r="C19" s="33">
        <v>2.6866259776812873</v>
      </c>
    </row>
    <row r="20" spans="1:3" x14ac:dyDescent="0.3">
      <c r="A20" s="24">
        <v>78.961601239363546</v>
      </c>
      <c r="C20" s="33">
        <v>0.63372369179628918</v>
      </c>
    </row>
    <row r="21" spans="1:3" x14ac:dyDescent="0.3">
      <c r="A21" s="24">
        <v>79.023637532864242</v>
      </c>
      <c r="C21" s="33">
        <v>12.883223439676597</v>
      </c>
    </row>
    <row r="22" spans="1:3" x14ac:dyDescent="0.3">
      <c r="A22" s="24">
        <v>78.04173287444118</v>
      </c>
      <c r="C22" s="33">
        <v>1.3867780835537256</v>
      </c>
    </row>
    <row r="23" spans="1:3" x14ac:dyDescent="0.3">
      <c r="A23" s="24">
        <v>76.272523688911789</v>
      </c>
      <c r="C23" s="33">
        <v>17.966588058484135</v>
      </c>
    </row>
    <row r="24" spans="1:3" x14ac:dyDescent="0.3">
      <c r="A24" s="24">
        <v>77.422086120397864</v>
      </c>
      <c r="C24" s="33">
        <v>8.9626934173875838</v>
      </c>
    </row>
    <row r="25" spans="1:3" x14ac:dyDescent="0.3">
      <c r="A25" s="24">
        <v>78.149555138147036</v>
      </c>
      <c r="C25" s="33">
        <v>1.7018537990256468</v>
      </c>
    </row>
    <row r="26" spans="1:3" x14ac:dyDescent="0.3">
      <c r="A26" s="24">
        <v>78.169154254330536</v>
      </c>
      <c r="C26" s="33">
        <v>3.6261178713984603</v>
      </c>
    </row>
    <row r="27" spans="1:3" x14ac:dyDescent="0.3">
      <c r="A27" s="24">
        <v>77.832453938654183</v>
      </c>
      <c r="C27" s="33">
        <v>6.8351989164965872</v>
      </c>
    </row>
    <row r="28" spans="1:3" x14ac:dyDescent="0.3">
      <c r="A28" s="24">
        <v>77.399811925038208</v>
      </c>
      <c r="C28" s="33">
        <v>19.107031978712932</v>
      </c>
    </row>
    <row r="29" spans="1:3" x14ac:dyDescent="0.3">
      <c r="A29" s="24">
        <v>78.408065441176362</v>
      </c>
      <c r="C29" s="33">
        <v>0.42207304763605902</v>
      </c>
    </row>
    <row r="30" spans="1:3" x14ac:dyDescent="0.3">
      <c r="A30" s="24">
        <v>76.964033515225978</v>
      </c>
      <c r="C30" s="33">
        <v>5.4836242438828275</v>
      </c>
    </row>
    <row r="31" spans="1:3" x14ac:dyDescent="0.3">
      <c r="A31" s="24">
        <v>78.023411848326376</v>
      </c>
      <c r="C31" s="9">
        <v>11.532765957034821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zoomScale="85" zoomScaleNormal="85" workbookViewId="0"/>
  </sheetViews>
  <sheetFormatPr defaultRowHeight="14.4" x14ac:dyDescent="0.3"/>
  <cols>
    <col min="1" max="1" width="29.88671875" bestFit="1" customWidth="1"/>
    <col min="2" max="2" width="23" style="8" bestFit="1" customWidth="1"/>
    <col min="3" max="3" width="28.109375" style="43" bestFit="1" customWidth="1"/>
    <col min="4" max="4" width="24.6640625" bestFit="1" customWidth="1"/>
    <col min="5" max="5" width="32" bestFit="1" customWidth="1"/>
    <col min="6" max="6" width="28.5546875" bestFit="1" customWidth="1"/>
    <col min="7" max="7" width="28.88671875" bestFit="1" customWidth="1"/>
    <col min="8" max="8" width="19.5546875" bestFit="1" customWidth="1"/>
    <col min="9" max="9" width="16.109375" bestFit="1" customWidth="1"/>
    <col min="10" max="10" width="6.6640625" bestFit="1" customWidth="1"/>
    <col min="11" max="11" width="15.6640625" bestFit="1" customWidth="1"/>
  </cols>
  <sheetData>
    <row r="1" spans="1:11" x14ac:dyDescent="0.3">
      <c r="A1" t="s">
        <v>114</v>
      </c>
      <c r="B1" s="27" t="s">
        <v>115</v>
      </c>
      <c r="C1" s="44" t="s">
        <v>116</v>
      </c>
      <c r="E1" t="s">
        <v>117</v>
      </c>
      <c r="F1" s="34" t="s">
        <v>118</v>
      </c>
      <c r="G1" s="34" t="s">
        <v>119</v>
      </c>
      <c r="H1" s="34" t="s">
        <v>120</v>
      </c>
      <c r="I1" s="34" t="s">
        <v>121</v>
      </c>
      <c r="J1" s="34" t="s">
        <v>122</v>
      </c>
      <c r="K1" s="34" t="s">
        <v>123</v>
      </c>
    </row>
    <row r="2" spans="1:11" x14ac:dyDescent="0.3">
      <c r="B2" s="29">
        <v>19.5</v>
      </c>
      <c r="C2" s="44">
        <f>ROUNDUP(2.898*B2,0)</f>
        <v>57</v>
      </c>
      <c r="F2" s="34">
        <v>19.5</v>
      </c>
      <c r="G2" s="34">
        <v>57</v>
      </c>
      <c r="H2" s="34">
        <v>76.820434226445229</v>
      </c>
      <c r="I2" s="34">
        <v>80.652133795184028</v>
      </c>
      <c r="J2" s="34">
        <v>3.5</v>
      </c>
      <c r="K2" s="34" t="s">
        <v>124</v>
      </c>
    </row>
    <row r="3" spans="1:11" x14ac:dyDescent="0.3">
      <c r="B3" s="29">
        <v>20.9</v>
      </c>
      <c r="C3" s="44">
        <f t="shared" ref="C3:C27" si="0">ROUNDUP(2.898*B3,0)</f>
        <v>61</v>
      </c>
      <c r="F3" s="34">
        <v>20.9</v>
      </c>
      <c r="G3" s="34">
        <v>61</v>
      </c>
      <c r="H3" s="34">
        <v>77.797680143230124</v>
      </c>
      <c r="I3" s="34">
        <v>67.474332810372971</v>
      </c>
      <c r="J3" s="34">
        <v>3.6</v>
      </c>
      <c r="K3" s="34" t="s">
        <v>124</v>
      </c>
    </row>
    <row r="4" spans="1:11" x14ac:dyDescent="0.3">
      <c r="B4" s="29">
        <v>21.2</v>
      </c>
      <c r="C4" s="44">
        <f t="shared" si="0"/>
        <v>62</v>
      </c>
      <c r="F4" s="34">
        <v>21.2</v>
      </c>
      <c r="G4" s="34">
        <v>62</v>
      </c>
      <c r="H4" s="34">
        <v>69.099423501976332</v>
      </c>
      <c r="I4" s="34">
        <v>37.136178877002166</v>
      </c>
      <c r="J4" s="34">
        <v>3.5</v>
      </c>
      <c r="K4" s="34" t="s">
        <v>124</v>
      </c>
    </row>
    <row r="5" spans="1:11" x14ac:dyDescent="0.3">
      <c r="B5" s="29">
        <v>21.364383116255389</v>
      </c>
      <c r="C5" s="44">
        <v>62.1</v>
      </c>
      <c r="F5" s="34">
        <v>21.364383116255389</v>
      </c>
      <c r="G5" s="34">
        <v>62.1</v>
      </c>
      <c r="H5" s="34">
        <v>74.887450660182253</v>
      </c>
      <c r="I5" s="34">
        <v>74.240577379628704</v>
      </c>
      <c r="J5" s="34">
        <v>3.7</v>
      </c>
      <c r="K5" s="34" t="s">
        <v>124</v>
      </c>
    </row>
    <row r="6" spans="1:11" x14ac:dyDescent="0.3">
      <c r="B6" s="29">
        <v>22.224956421830694</v>
      </c>
      <c r="C6" s="44">
        <f t="shared" si="0"/>
        <v>65</v>
      </c>
      <c r="F6" s="34">
        <v>22.224956421830694</v>
      </c>
      <c r="G6" s="34">
        <v>65</v>
      </c>
      <c r="H6" s="34">
        <v>72.376958604536611</v>
      </c>
      <c r="I6" s="34">
        <v>65.58082385521854</v>
      </c>
      <c r="J6" s="34">
        <v>3.8</v>
      </c>
      <c r="K6" s="34" t="s">
        <v>124</v>
      </c>
    </row>
    <row r="7" spans="1:11" x14ac:dyDescent="0.3">
      <c r="B7" s="29">
        <v>23.409121348789665</v>
      </c>
      <c r="C7" s="44">
        <f t="shared" si="0"/>
        <v>68</v>
      </c>
      <c r="F7" s="34">
        <v>23.409121348789665</v>
      </c>
      <c r="G7" s="34">
        <v>68</v>
      </c>
      <c r="H7" s="34">
        <v>74.093188099750648</v>
      </c>
      <c r="I7" s="34">
        <v>45.764631242852062</v>
      </c>
      <c r="J7" s="34">
        <v>4.01</v>
      </c>
      <c r="K7" s="34" t="s">
        <v>125</v>
      </c>
    </row>
    <row r="8" spans="1:11" x14ac:dyDescent="0.3">
      <c r="B8" s="29">
        <v>24.1</v>
      </c>
      <c r="C8" s="44">
        <f t="shared" si="0"/>
        <v>70</v>
      </c>
      <c r="F8" s="34">
        <v>24.1</v>
      </c>
      <c r="G8" s="34">
        <v>70</v>
      </c>
      <c r="H8" s="34">
        <v>84.255295442500483</v>
      </c>
      <c r="I8" s="34">
        <v>38.176109689356387</v>
      </c>
      <c r="J8" s="34">
        <v>4.2</v>
      </c>
      <c r="K8" s="34" t="s">
        <v>125</v>
      </c>
    </row>
    <row r="9" spans="1:11" x14ac:dyDescent="0.3">
      <c r="B9" s="29">
        <v>24.8</v>
      </c>
      <c r="C9" s="44">
        <f t="shared" si="0"/>
        <v>72</v>
      </c>
      <c r="F9" s="34">
        <v>24.8</v>
      </c>
      <c r="G9" s="34">
        <v>72</v>
      </c>
      <c r="H9" s="34">
        <v>75.64658228679022</v>
      </c>
      <c r="I9" s="34">
        <v>79.973731488144608</v>
      </c>
      <c r="J9" s="34">
        <v>4.3</v>
      </c>
      <c r="K9" s="34" t="s">
        <v>125</v>
      </c>
    </row>
    <row r="10" spans="1:11" x14ac:dyDescent="0.3">
      <c r="B10" s="29">
        <v>25.2</v>
      </c>
      <c r="C10" s="44">
        <f t="shared" si="0"/>
        <v>74</v>
      </c>
      <c r="F10" s="34">
        <v>25.2</v>
      </c>
      <c r="G10" s="34">
        <v>74</v>
      </c>
      <c r="H10" s="34">
        <v>78.687668382290056</v>
      </c>
      <c r="I10" s="34">
        <v>46.812227572340802</v>
      </c>
      <c r="J10" s="34">
        <v>4.25</v>
      </c>
      <c r="K10" s="34" t="s">
        <v>125</v>
      </c>
    </row>
    <row r="11" spans="1:11" x14ac:dyDescent="0.3">
      <c r="B11" s="29">
        <v>25.8</v>
      </c>
      <c r="C11" s="44">
        <f t="shared" si="0"/>
        <v>75</v>
      </c>
      <c r="F11" s="34">
        <v>25.8</v>
      </c>
      <c r="G11" s="34">
        <v>75</v>
      </c>
      <c r="H11" s="34">
        <v>78.466666316861435</v>
      </c>
      <c r="I11" s="34">
        <v>59.451608167775653</v>
      </c>
      <c r="J11" s="34">
        <v>4.45</v>
      </c>
      <c r="K11" s="34" t="s">
        <v>125</v>
      </c>
    </row>
    <row r="12" spans="1:11" x14ac:dyDescent="0.3">
      <c r="B12" s="29">
        <v>23.312442267945887</v>
      </c>
      <c r="C12" s="44">
        <f t="shared" si="0"/>
        <v>68</v>
      </c>
      <c r="F12" s="34">
        <v>23.312442267945887</v>
      </c>
      <c r="G12" s="34">
        <v>68</v>
      </c>
      <c r="H12" s="34">
        <v>79.515284118683752</v>
      </c>
      <c r="I12" s="34">
        <v>41.172011528179375</v>
      </c>
      <c r="J12" s="34">
        <v>4</v>
      </c>
      <c r="K12" s="34" t="s">
        <v>125</v>
      </c>
    </row>
    <row r="13" spans="1:11" x14ac:dyDescent="0.3">
      <c r="B13" s="29">
        <v>24.187729403363257</v>
      </c>
      <c r="C13" s="44">
        <f t="shared" si="0"/>
        <v>71</v>
      </c>
      <c r="F13" s="34">
        <v>24.187729403363257</v>
      </c>
      <c r="G13" s="34">
        <v>71</v>
      </c>
      <c r="H13" s="34">
        <v>72.91272551215809</v>
      </c>
      <c r="I13" s="34">
        <v>69.90835536087738</v>
      </c>
      <c r="J13" s="34">
        <v>4.1500000000000004</v>
      </c>
      <c r="K13" s="34" t="s">
        <v>125</v>
      </c>
    </row>
    <row r="14" spans="1:11" x14ac:dyDescent="0.3">
      <c r="B14" s="29">
        <v>23.332873452577399</v>
      </c>
      <c r="C14" s="44">
        <v>68.150000000000006</v>
      </c>
      <c r="F14" s="34">
        <v>23.332873452577399</v>
      </c>
      <c r="G14" s="34">
        <v>68.150000000000006</v>
      </c>
      <c r="H14" s="34">
        <v>75.600537830796171</v>
      </c>
      <c r="I14" s="34">
        <v>83.665764237388572</v>
      </c>
      <c r="J14" s="34">
        <v>3.99</v>
      </c>
      <c r="K14" s="34" t="s">
        <v>125</v>
      </c>
    </row>
    <row r="15" spans="1:11" x14ac:dyDescent="0.3">
      <c r="B15" s="29">
        <v>23.296667912501256</v>
      </c>
      <c r="C15" s="44">
        <f t="shared" si="0"/>
        <v>68</v>
      </c>
      <c r="F15" s="34">
        <v>23.296667912501256</v>
      </c>
      <c r="G15" s="34">
        <v>68</v>
      </c>
      <c r="H15" s="34">
        <v>76.46198149677727</v>
      </c>
      <c r="I15" s="34">
        <v>83.497094226489111</v>
      </c>
      <c r="J15" s="34">
        <v>3.5</v>
      </c>
      <c r="K15" s="34" t="s">
        <v>125</v>
      </c>
    </row>
    <row r="16" spans="1:11" x14ac:dyDescent="0.3">
      <c r="B16" s="29">
        <v>24.230240042459407</v>
      </c>
      <c r="C16" s="44">
        <f t="shared" si="0"/>
        <v>71</v>
      </c>
      <c r="F16" s="34">
        <v>24.230240042459407</v>
      </c>
      <c r="G16" s="34">
        <v>71</v>
      </c>
      <c r="H16" s="34">
        <v>73.487836354773492</v>
      </c>
      <c r="I16" s="34">
        <v>70.051651927256884</v>
      </c>
      <c r="J16" s="34">
        <v>4.2</v>
      </c>
      <c r="K16" s="34" t="s">
        <v>125</v>
      </c>
    </row>
    <row r="17" spans="2:11" x14ac:dyDescent="0.3">
      <c r="B17" s="29">
        <v>23.669630534776903</v>
      </c>
      <c r="C17" s="44">
        <f t="shared" si="0"/>
        <v>69</v>
      </c>
      <c r="F17" s="34">
        <v>23.669630534776903</v>
      </c>
      <c r="G17" s="34">
        <v>69</v>
      </c>
      <c r="H17" s="34">
        <v>84.329794811865114</v>
      </c>
      <c r="I17" s="34">
        <v>50.609676870901993</v>
      </c>
      <c r="J17" s="34">
        <v>4.0999999999999996</v>
      </c>
      <c r="K17" s="34" t="s">
        <v>125</v>
      </c>
    </row>
    <row r="18" spans="2:11" x14ac:dyDescent="0.3">
      <c r="B18" s="29">
        <v>22.751897260291976</v>
      </c>
      <c r="C18" s="44">
        <f t="shared" si="0"/>
        <v>66</v>
      </c>
      <c r="F18" s="34">
        <v>22.751897260291976</v>
      </c>
      <c r="G18" s="34">
        <v>66</v>
      </c>
      <c r="H18" s="34">
        <v>69.588182962533153</v>
      </c>
      <c r="I18" s="34">
        <v>50.892969661842713</v>
      </c>
      <c r="J18" s="34">
        <v>3.9</v>
      </c>
      <c r="K18" s="34" t="s">
        <v>124</v>
      </c>
    </row>
    <row r="19" spans="2:11" x14ac:dyDescent="0.3">
      <c r="B19" s="29">
        <v>23.331158797357272</v>
      </c>
      <c r="C19" s="44">
        <f t="shared" si="0"/>
        <v>68</v>
      </c>
      <c r="F19" s="34">
        <v>23.331158797357272</v>
      </c>
      <c r="G19" s="34">
        <v>68</v>
      </c>
      <c r="H19" s="34">
        <v>79.692390172939497</v>
      </c>
      <c r="I19" s="34">
        <v>63.498891957144195</v>
      </c>
      <c r="J19" s="34">
        <v>4</v>
      </c>
      <c r="K19" s="34" t="s">
        <v>125</v>
      </c>
    </row>
    <row r="20" spans="2:11" x14ac:dyDescent="0.3">
      <c r="B20" s="29">
        <v>23.658783102064962</v>
      </c>
      <c r="C20" s="44">
        <f t="shared" si="0"/>
        <v>69</v>
      </c>
      <c r="F20" s="34">
        <v>23.658783102064962</v>
      </c>
      <c r="G20" s="34">
        <v>69</v>
      </c>
      <c r="H20" s="34">
        <v>74.671829076259797</v>
      </c>
      <c r="I20" s="34">
        <v>39.323005525655617</v>
      </c>
      <c r="J20" s="34">
        <v>4.0999999999999996</v>
      </c>
      <c r="K20" s="34" t="s">
        <v>125</v>
      </c>
    </row>
    <row r="21" spans="2:11" x14ac:dyDescent="0.3">
      <c r="B21" s="29">
        <v>23.357260307306731</v>
      </c>
      <c r="C21" s="44">
        <f t="shared" si="0"/>
        <v>68</v>
      </c>
      <c r="F21" s="34">
        <v>23.357260307306731</v>
      </c>
      <c r="G21" s="34">
        <v>68</v>
      </c>
      <c r="H21" s="34">
        <v>70.057954170191493</v>
      </c>
      <c r="I21" s="34">
        <v>62.19427288978315</v>
      </c>
      <c r="J21" s="34">
        <v>3.85</v>
      </c>
      <c r="K21" s="34" t="s">
        <v>125</v>
      </c>
    </row>
    <row r="22" spans="2:11" x14ac:dyDescent="0.3">
      <c r="B22" s="29">
        <v>23.1492589255014</v>
      </c>
      <c r="C22" s="44">
        <v>68.05</v>
      </c>
      <c r="F22" s="34">
        <v>23.1492589255014</v>
      </c>
      <c r="G22" s="34">
        <v>68.05</v>
      </c>
      <c r="H22" s="34">
        <v>83.396949485332101</v>
      </c>
      <c r="I22" s="34">
        <v>30.287745640704216</v>
      </c>
      <c r="J22" s="34">
        <v>3.99</v>
      </c>
      <c r="K22" s="34" t="s">
        <v>125</v>
      </c>
    </row>
    <row r="23" spans="2:11" x14ac:dyDescent="0.3">
      <c r="B23" s="29">
        <v>23.19742735649395</v>
      </c>
      <c r="C23" s="44">
        <v>68.099999999999994</v>
      </c>
      <c r="F23" s="34">
        <v>23.19742735649395</v>
      </c>
      <c r="G23" s="34">
        <v>68.099999999999994</v>
      </c>
      <c r="H23" s="34">
        <v>78.265121058684699</v>
      </c>
      <c r="I23" s="34">
        <v>64.575863748360263</v>
      </c>
      <c r="J23" s="34">
        <v>4.01</v>
      </c>
      <c r="K23" s="34" t="s">
        <v>125</v>
      </c>
    </row>
    <row r="24" spans="2:11" x14ac:dyDescent="0.3">
      <c r="B24" s="29">
        <v>23.558934135575559</v>
      </c>
      <c r="C24" s="44">
        <f t="shared" si="0"/>
        <v>69</v>
      </c>
      <c r="F24" s="34">
        <v>23.558934135575559</v>
      </c>
      <c r="G24" s="34">
        <v>69</v>
      </c>
      <c r="H24" s="34">
        <v>78.373668784738157</v>
      </c>
      <c r="I24" s="34">
        <v>71.501359387896699</v>
      </c>
      <c r="J24" s="34">
        <v>4</v>
      </c>
      <c r="K24" s="34" t="s">
        <v>125</v>
      </c>
    </row>
    <row r="25" spans="2:11" x14ac:dyDescent="0.3">
      <c r="B25" s="29">
        <v>21.403359145310809</v>
      </c>
      <c r="C25" s="44">
        <f t="shared" si="0"/>
        <v>63</v>
      </c>
      <c r="F25" s="34">
        <v>21.403359145310809</v>
      </c>
      <c r="G25" s="34">
        <v>63</v>
      </c>
      <c r="H25" s="34">
        <v>72.485626161449119</v>
      </c>
      <c r="I25" s="34">
        <v>39.23427425455354</v>
      </c>
      <c r="J25" s="34">
        <v>3.59</v>
      </c>
      <c r="K25" s="34" t="s">
        <v>124</v>
      </c>
    </row>
    <row r="26" spans="2:11" x14ac:dyDescent="0.3">
      <c r="B26" s="29">
        <v>22.612922701211911</v>
      </c>
      <c r="C26" s="44">
        <f t="shared" si="0"/>
        <v>66</v>
      </c>
      <c r="F26" s="34">
        <v>22.612922701211911</v>
      </c>
      <c r="G26" s="34">
        <v>66</v>
      </c>
      <c r="H26" s="34">
        <v>70.291444155395567</v>
      </c>
      <c r="I26" s="34">
        <v>76.338397998080467</v>
      </c>
      <c r="J26" s="34">
        <v>3.75</v>
      </c>
      <c r="K26" s="34" t="s">
        <v>124</v>
      </c>
    </row>
    <row r="27" spans="2:11" x14ac:dyDescent="0.3">
      <c r="B27" s="29">
        <v>23.54017108626676</v>
      </c>
      <c r="C27" s="44">
        <f t="shared" si="0"/>
        <v>69</v>
      </c>
      <c r="F27" s="34">
        <v>23.54017108626676</v>
      </c>
      <c r="G27" s="34">
        <v>69</v>
      </c>
      <c r="H27" s="34">
        <v>73.114048989785175</v>
      </c>
      <c r="I27" s="34">
        <v>39.372860112174088</v>
      </c>
      <c r="J27" s="34">
        <v>4.0199999999999996</v>
      </c>
      <c r="K27" s="34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D6"/>
  <sheetViews>
    <sheetView workbookViewId="0"/>
  </sheetViews>
  <sheetFormatPr defaultRowHeight="14.4" x14ac:dyDescent="0.3"/>
  <cols>
    <col min="1" max="1" width="3.33203125" customWidth="1"/>
    <col min="2" max="2" width="23.44140625" bestFit="1" customWidth="1"/>
    <col min="3" max="7" width="11.109375" bestFit="1" customWidth="1"/>
  </cols>
  <sheetData>
    <row r="1" spans="2:4" x14ac:dyDescent="0.3">
      <c r="B1" s="13" t="s">
        <v>26</v>
      </c>
      <c r="C1" s="13" t="s">
        <v>126</v>
      </c>
      <c r="D1" s="13" t="s">
        <v>127</v>
      </c>
    </row>
    <row r="2" spans="2:4" x14ac:dyDescent="0.3">
      <c r="B2" s="13" t="s">
        <v>128</v>
      </c>
      <c r="C2" s="14">
        <v>200</v>
      </c>
      <c r="D2" s="14">
        <v>180</v>
      </c>
    </row>
    <row r="3" spans="2:4" x14ac:dyDescent="0.3">
      <c r="B3" s="13" t="s">
        <v>129</v>
      </c>
      <c r="C3" s="14">
        <v>50000</v>
      </c>
      <c r="D3" s="14">
        <v>40000</v>
      </c>
    </row>
    <row r="4" spans="2:4" x14ac:dyDescent="0.3">
      <c r="B4" s="2"/>
      <c r="C4" s="2"/>
      <c r="D4" s="2"/>
    </row>
    <row r="5" spans="2:4" x14ac:dyDescent="0.3">
      <c r="B5" s="13" t="s">
        <v>40</v>
      </c>
      <c r="C5" s="15">
        <f>C2/C3</f>
        <v>4.0000000000000001E-3</v>
      </c>
      <c r="D5" s="15">
        <f>D2/D3</f>
        <v>4.4999999999999997E-3</v>
      </c>
    </row>
    <row r="6" spans="2:4" x14ac:dyDescent="0.3">
      <c r="B6" s="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"/>
  <sheetViews>
    <sheetView tabSelected="1" workbookViewId="0">
      <selection activeCell="G4" sqref="G4:H4"/>
    </sheetView>
  </sheetViews>
  <sheetFormatPr defaultRowHeight="14.4" x14ac:dyDescent="0.3"/>
  <cols>
    <col min="1" max="1" width="9.33203125"/>
    <col min="2" max="2" width="15.33203125" bestFit="1" customWidth="1"/>
    <col min="3" max="3" width="15.5546875" bestFit="1" customWidth="1"/>
    <col min="4" max="4" width="15.5546875" customWidth="1"/>
    <col min="5" max="5" width="9.33203125"/>
    <col min="7" max="7" width="22.44140625" customWidth="1"/>
  </cols>
  <sheetData>
    <row r="1" spans="1:8" x14ac:dyDescent="0.3">
      <c r="A1" s="45" t="s">
        <v>51</v>
      </c>
      <c r="B1" s="34" t="s">
        <v>52</v>
      </c>
      <c r="C1" s="46" t="s">
        <v>53</v>
      </c>
      <c r="D1" s="47" t="s">
        <v>130</v>
      </c>
      <c r="E1" s="34" t="s">
        <v>54</v>
      </c>
      <c r="G1" t="s">
        <v>133</v>
      </c>
      <c r="H1" t="s">
        <v>134</v>
      </c>
    </row>
    <row r="2" spans="1:8" x14ac:dyDescent="0.3">
      <c r="A2" s="45">
        <v>43101</v>
      </c>
      <c r="B2" s="34">
        <v>1013</v>
      </c>
      <c r="C2" s="46">
        <v>192</v>
      </c>
      <c r="D2" s="48">
        <f>C2/B2</f>
        <v>0.1895360315893386</v>
      </c>
      <c r="E2" s="34" t="s">
        <v>59</v>
      </c>
      <c r="G2">
        <v>0.1895360315893386</v>
      </c>
      <c r="H2" t="s">
        <v>59</v>
      </c>
    </row>
    <row r="3" spans="1:8" x14ac:dyDescent="0.3">
      <c r="A3" s="45">
        <v>43132</v>
      </c>
      <c r="B3" s="34">
        <v>992</v>
      </c>
      <c r="C3" s="46">
        <v>195</v>
      </c>
      <c r="D3" s="48">
        <f t="shared" ref="D3:D46" si="0">C3/B3</f>
        <v>0.19657258064516128</v>
      </c>
      <c r="E3" s="34" t="s">
        <v>59</v>
      </c>
      <c r="G3">
        <v>0.19657258064516128</v>
      </c>
      <c r="H3" t="s">
        <v>59</v>
      </c>
    </row>
    <row r="4" spans="1:8" x14ac:dyDescent="0.3">
      <c r="A4" s="45">
        <v>43160</v>
      </c>
      <c r="B4" s="34">
        <v>960</v>
      </c>
      <c r="C4" s="46">
        <v>100</v>
      </c>
      <c r="D4" s="48">
        <f t="shared" si="0"/>
        <v>0.10416666666666667</v>
      </c>
      <c r="E4" s="34" t="s">
        <v>59</v>
      </c>
      <c r="G4">
        <v>0.20783132530120482</v>
      </c>
      <c r="H4" t="s">
        <v>59</v>
      </c>
    </row>
    <row r="5" spans="1:8" x14ac:dyDescent="0.3">
      <c r="A5" s="45">
        <v>43191</v>
      </c>
      <c r="B5" s="34">
        <v>996</v>
      </c>
      <c r="C5" s="46">
        <v>207</v>
      </c>
      <c r="D5" s="48">
        <f t="shared" si="0"/>
        <v>0.20783132530120482</v>
      </c>
      <c r="E5" s="34" t="s">
        <v>59</v>
      </c>
      <c r="G5">
        <v>0.19735503560528994</v>
      </c>
      <c r="H5" t="s">
        <v>59</v>
      </c>
    </row>
    <row r="6" spans="1:8" x14ac:dyDescent="0.3">
      <c r="A6" s="45">
        <v>43221</v>
      </c>
      <c r="B6" s="34">
        <v>983</v>
      </c>
      <c r="C6" s="46">
        <v>194</v>
      </c>
      <c r="D6" s="48">
        <f t="shared" si="0"/>
        <v>0.19735503560528994</v>
      </c>
      <c r="E6" s="34" t="s">
        <v>59</v>
      </c>
      <c r="G6">
        <v>0.20418848167539266</v>
      </c>
      <c r="H6" t="s">
        <v>59</v>
      </c>
    </row>
    <row r="7" spans="1:8" x14ac:dyDescent="0.3">
      <c r="A7" s="45">
        <v>43252</v>
      </c>
      <c r="B7" s="34">
        <v>955</v>
      </c>
      <c r="C7" s="46">
        <v>195</v>
      </c>
      <c r="D7" s="48">
        <f t="shared" si="0"/>
        <v>0.20418848167539266</v>
      </c>
      <c r="E7" s="34" t="s">
        <v>59</v>
      </c>
      <c r="G7">
        <v>0.20504731861198738</v>
      </c>
      <c r="H7" t="s">
        <v>59</v>
      </c>
    </row>
    <row r="8" spans="1:8" x14ac:dyDescent="0.3">
      <c r="A8" s="45">
        <v>43282</v>
      </c>
      <c r="B8" s="34">
        <v>951</v>
      </c>
      <c r="C8" s="46">
        <v>195</v>
      </c>
      <c r="D8" s="48">
        <f t="shared" si="0"/>
        <v>0.20504731861198738</v>
      </c>
      <c r="E8" s="34" t="s">
        <v>59</v>
      </c>
      <c r="G8">
        <v>0.2073170731707317</v>
      </c>
      <c r="H8" t="s">
        <v>59</v>
      </c>
    </row>
    <row r="9" spans="1:8" x14ac:dyDescent="0.3">
      <c r="A9" s="45">
        <v>43313</v>
      </c>
      <c r="B9" s="34">
        <v>984</v>
      </c>
      <c r="C9" s="46">
        <v>204</v>
      </c>
      <c r="D9" s="48">
        <f t="shared" si="0"/>
        <v>0.2073170731707317</v>
      </c>
      <c r="E9" s="34" t="s">
        <v>59</v>
      </c>
      <c r="G9">
        <v>0.2013685239491691</v>
      </c>
      <c r="H9" t="s">
        <v>59</v>
      </c>
    </row>
    <row r="10" spans="1:8" x14ac:dyDescent="0.3">
      <c r="A10" s="45">
        <v>43344</v>
      </c>
      <c r="B10" s="34">
        <v>1023</v>
      </c>
      <c r="C10" s="46">
        <v>206</v>
      </c>
      <c r="D10" s="48">
        <f t="shared" si="0"/>
        <v>0.2013685239491691</v>
      </c>
      <c r="E10" s="34" t="s">
        <v>59</v>
      </c>
      <c r="G10">
        <v>0.21196754563894524</v>
      </c>
      <c r="H10" t="s">
        <v>59</v>
      </c>
    </row>
    <row r="11" spans="1:8" x14ac:dyDescent="0.3">
      <c r="A11" s="45">
        <v>43374</v>
      </c>
      <c r="B11" s="34">
        <v>986</v>
      </c>
      <c r="C11" s="46">
        <v>209</v>
      </c>
      <c r="D11" s="48">
        <f t="shared" si="0"/>
        <v>0.21196754563894524</v>
      </c>
      <c r="E11" s="34" t="s">
        <v>59</v>
      </c>
      <c r="G11">
        <v>0.20475698035160289</v>
      </c>
      <c r="H11" t="s">
        <v>59</v>
      </c>
    </row>
    <row r="12" spans="1:8" x14ac:dyDescent="0.3">
      <c r="A12" s="45">
        <v>43405</v>
      </c>
      <c r="B12" s="34">
        <v>967</v>
      </c>
      <c r="C12" s="46">
        <v>198</v>
      </c>
      <c r="D12" s="48">
        <f t="shared" si="0"/>
        <v>0.20475698035160289</v>
      </c>
      <c r="E12" s="34" t="s">
        <v>59</v>
      </c>
      <c r="G12">
        <v>0.19075712881022616</v>
      </c>
      <c r="H12" t="s">
        <v>59</v>
      </c>
    </row>
    <row r="13" spans="1:8" x14ac:dyDescent="0.3">
      <c r="A13" s="45">
        <v>43435</v>
      </c>
      <c r="B13" s="34">
        <v>1017</v>
      </c>
      <c r="C13" s="46">
        <v>194</v>
      </c>
      <c r="D13" s="48">
        <f t="shared" si="0"/>
        <v>0.19075712881022616</v>
      </c>
      <c r="E13" s="34" t="s">
        <v>59</v>
      </c>
      <c r="G13">
        <v>0.21777777777777776</v>
      </c>
      <c r="H13" t="s">
        <v>59</v>
      </c>
    </row>
    <row r="14" spans="1:8" x14ac:dyDescent="0.3">
      <c r="A14" s="45">
        <v>43466</v>
      </c>
      <c r="B14" s="34">
        <v>900</v>
      </c>
      <c r="C14" s="46">
        <v>196</v>
      </c>
      <c r="D14" s="48">
        <f t="shared" si="0"/>
        <v>0.21777777777777776</v>
      </c>
      <c r="E14" s="34" t="s">
        <v>59</v>
      </c>
      <c r="G14">
        <v>0.20123839009287925</v>
      </c>
      <c r="H14" t="s">
        <v>59</v>
      </c>
    </row>
    <row r="15" spans="1:8" x14ac:dyDescent="0.3">
      <c r="A15" s="45">
        <v>43497</v>
      </c>
      <c r="B15" s="34">
        <v>969</v>
      </c>
      <c r="C15" s="46">
        <v>195</v>
      </c>
      <c r="D15" s="48">
        <f t="shared" si="0"/>
        <v>0.20123839009287925</v>
      </c>
      <c r="E15" s="34" t="s">
        <v>59</v>
      </c>
      <c r="G15">
        <v>0.19863013698630136</v>
      </c>
      <c r="H15" t="s">
        <v>59</v>
      </c>
    </row>
    <row r="16" spans="1:8" x14ac:dyDescent="0.3">
      <c r="A16" s="45">
        <v>43525</v>
      </c>
      <c r="B16" s="34">
        <v>1022</v>
      </c>
      <c r="C16" s="46">
        <v>203</v>
      </c>
      <c r="D16" s="48">
        <f t="shared" si="0"/>
        <v>0.19863013698630136</v>
      </c>
      <c r="E16" s="34" t="s">
        <v>59</v>
      </c>
      <c r="G16">
        <v>0.21465428276573786</v>
      </c>
      <c r="H16" t="s">
        <v>59</v>
      </c>
    </row>
    <row r="17" spans="1:8" x14ac:dyDescent="0.3">
      <c r="A17" s="45">
        <v>43556</v>
      </c>
      <c r="B17" s="34">
        <v>969</v>
      </c>
      <c r="C17" s="46">
        <v>208</v>
      </c>
      <c r="D17" s="48">
        <f t="shared" si="0"/>
        <v>0.21465428276573786</v>
      </c>
      <c r="E17" s="34" t="s">
        <v>59</v>
      </c>
      <c r="G17">
        <v>0.20309278350515464</v>
      </c>
      <c r="H17" t="s">
        <v>59</v>
      </c>
    </row>
    <row r="18" spans="1:8" x14ac:dyDescent="0.3">
      <c r="A18" s="45">
        <v>43586</v>
      </c>
      <c r="B18" s="34">
        <v>970</v>
      </c>
      <c r="C18" s="46">
        <v>197</v>
      </c>
      <c r="D18" s="48">
        <f t="shared" si="0"/>
        <v>0.20309278350515464</v>
      </c>
      <c r="E18" s="34" t="s">
        <v>59</v>
      </c>
      <c r="G18">
        <v>0.21318228630278063</v>
      </c>
      <c r="H18" t="s">
        <v>59</v>
      </c>
    </row>
    <row r="19" spans="1:8" x14ac:dyDescent="0.3">
      <c r="A19" s="45">
        <v>43617</v>
      </c>
      <c r="B19" s="34">
        <v>971</v>
      </c>
      <c r="C19" s="46">
        <v>207</v>
      </c>
      <c r="D19" s="48">
        <f t="shared" si="0"/>
        <v>0.21318228630278063</v>
      </c>
      <c r="E19" s="34" t="s">
        <v>59</v>
      </c>
      <c r="G19">
        <v>0.20611439842209073</v>
      </c>
      <c r="H19" t="s">
        <v>59</v>
      </c>
    </row>
    <row r="20" spans="1:8" x14ac:dyDescent="0.3">
      <c r="A20" s="45">
        <v>43647</v>
      </c>
      <c r="B20" s="34">
        <v>1014</v>
      </c>
      <c r="C20" s="46">
        <v>209</v>
      </c>
      <c r="D20" s="48">
        <f t="shared" si="0"/>
        <v>0.20611439842209073</v>
      </c>
      <c r="E20" s="34" t="s">
        <v>59</v>
      </c>
      <c r="G20">
        <v>0.21488469601677149</v>
      </c>
      <c r="H20" t="s">
        <v>59</v>
      </c>
    </row>
    <row r="21" spans="1:8" x14ac:dyDescent="0.3">
      <c r="A21" s="45">
        <v>43678</v>
      </c>
      <c r="B21" s="34">
        <v>954</v>
      </c>
      <c r="C21" s="46">
        <v>205</v>
      </c>
      <c r="D21" s="48">
        <f t="shared" si="0"/>
        <v>0.21488469601677149</v>
      </c>
      <c r="E21" s="34" t="s">
        <v>59</v>
      </c>
      <c r="G21">
        <v>0.1936444885799404</v>
      </c>
      <c r="H21" t="s">
        <v>59</v>
      </c>
    </row>
    <row r="22" spans="1:8" x14ac:dyDescent="0.3">
      <c r="A22" s="45">
        <v>43709</v>
      </c>
      <c r="B22" s="34">
        <v>1007</v>
      </c>
      <c r="C22" s="46">
        <v>195</v>
      </c>
      <c r="D22" s="48">
        <f t="shared" si="0"/>
        <v>0.1936444885799404</v>
      </c>
      <c r="E22" s="34" t="s">
        <v>59</v>
      </c>
      <c r="G22">
        <v>0.17416666666666666</v>
      </c>
      <c r="H22" t="s">
        <v>59</v>
      </c>
    </row>
    <row r="23" spans="1:8" x14ac:dyDescent="0.3">
      <c r="A23" s="45">
        <v>43739</v>
      </c>
      <c r="B23" s="34">
        <v>1200</v>
      </c>
      <c r="C23" s="46">
        <v>209</v>
      </c>
      <c r="D23" s="48">
        <f t="shared" si="0"/>
        <v>0.17416666666666666</v>
      </c>
      <c r="E23" s="34" t="s">
        <v>59</v>
      </c>
      <c r="G23">
        <v>0.2074688796680498</v>
      </c>
      <c r="H23" t="s">
        <v>59</v>
      </c>
    </row>
    <row r="24" spans="1:8" x14ac:dyDescent="0.3">
      <c r="A24" s="45">
        <v>43770</v>
      </c>
      <c r="B24" s="34">
        <v>964</v>
      </c>
      <c r="C24" s="46">
        <v>200</v>
      </c>
      <c r="D24" s="48">
        <f t="shared" si="0"/>
        <v>0.2074688796680498</v>
      </c>
      <c r="E24" s="34" t="s">
        <v>59</v>
      </c>
      <c r="G24">
        <v>0.2</v>
      </c>
      <c r="H24" t="s">
        <v>59</v>
      </c>
    </row>
    <row r="25" spans="1:8" x14ac:dyDescent="0.3">
      <c r="A25" s="45">
        <v>43800</v>
      </c>
      <c r="B25" s="34">
        <v>1000</v>
      </c>
      <c r="C25" s="46">
        <v>200</v>
      </c>
      <c r="D25" s="48">
        <f t="shared" si="0"/>
        <v>0.2</v>
      </c>
      <c r="E25" s="34" t="s">
        <v>59</v>
      </c>
      <c r="G25">
        <v>0.19192913385826771</v>
      </c>
      <c r="H25" t="s">
        <v>59</v>
      </c>
    </row>
    <row r="26" spans="1:8" x14ac:dyDescent="0.3">
      <c r="A26" s="45">
        <v>43831</v>
      </c>
      <c r="B26" s="34">
        <v>1016</v>
      </c>
      <c r="C26" s="46">
        <v>195</v>
      </c>
      <c r="D26" s="48">
        <f t="shared" si="0"/>
        <v>0.19192913385826771</v>
      </c>
      <c r="E26" s="34" t="s">
        <v>59</v>
      </c>
      <c r="G26">
        <v>0.19567354965585054</v>
      </c>
      <c r="H26" t="s">
        <v>59</v>
      </c>
    </row>
    <row r="27" spans="1:8" x14ac:dyDescent="0.3">
      <c r="A27" s="45">
        <v>43862</v>
      </c>
      <c r="B27" s="34">
        <v>1017</v>
      </c>
      <c r="C27" s="46">
        <v>199</v>
      </c>
      <c r="D27" s="48">
        <f t="shared" si="0"/>
        <v>0.19567354965585054</v>
      </c>
      <c r="E27" s="34" t="s">
        <v>59</v>
      </c>
      <c r="G27">
        <v>0.19778002018163471</v>
      </c>
      <c r="H27" t="s">
        <v>59</v>
      </c>
    </row>
    <row r="28" spans="1:8" x14ac:dyDescent="0.3">
      <c r="A28" s="45">
        <v>43891</v>
      </c>
      <c r="B28" s="34">
        <v>991</v>
      </c>
      <c r="C28" s="46">
        <v>196</v>
      </c>
      <c r="D28" s="48">
        <f t="shared" si="0"/>
        <v>0.19778002018163471</v>
      </c>
      <c r="E28" s="34" t="s">
        <v>59</v>
      </c>
      <c r="G28">
        <v>0.20436507936507936</v>
      </c>
      <c r="H28" t="s">
        <v>59</v>
      </c>
    </row>
    <row r="29" spans="1:8" x14ac:dyDescent="0.3">
      <c r="A29" s="45">
        <v>43922</v>
      </c>
      <c r="B29" s="34">
        <v>1008</v>
      </c>
      <c r="C29" s="46">
        <v>206</v>
      </c>
      <c r="D29" s="48">
        <f t="shared" si="0"/>
        <v>0.20436507936507936</v>
      </c>
      <c r="E29" s="34" t="s">
        <v>59</v>
      </c>
      <c r="G29">
        <v>0.19117647058823528</v>
      </c>
      <c r="H29" t="s">
        <v>59</v>
      </c>
    </row>
    <row r="30" spans="1:8" x14ac:dyDescent="0.3">
      <c r="A30" s="45">
        <v>43952</v>
      </c>
      <c r="B30" s="34">
        <v>1020</v>
      </c>
      <c r="C30" s="46">
        <v>195</v>
      </c>
      <c r="D30" s="48">
        <f t="shared" si="0"/>
        <v>0.19117647058823528</v>
      </c>
      <c r="E30" s="34" t="s">
        <v>59</v>
      </c>
      <c r="G30">
        <v>0.36157024793388431</v>
      </c>
      <c r="H30" t="s">
        <v>85</v>
      </c>
    </row>
    <row r="31" spans="1:8" x14ac:dyDescent="0.3">
      <c r="A31" s="45">
        <v>43983</v>
      </c>
      <c r="B31" s="34">
        <v>968</v>
      </c>
      <c r="C31" s="46">
        <v>350</v>
      </c>
      <c r="D31" s="48">
        <f t="shared" si="0"/>
        <v>0.36157024793388431</v>
      </c>
      <c r="E31" s="34" t="s">
        <v>85</v>
      </c>
      <c r="G31">
        <v>0.33505154639175255</v>
      </c>
      <c r="H31" t="s">
        <v>85</v>
      </c>
    </row>
    <row r="32" spans="1:8" x14ac:dyDescent="0.3">
      <c r="A32" s="45">
        <v>44013</v>
      </c>
      <c r="B32" s="34">
        <v>970</v>
      </c>
      <c r="C32" s="46">
        <v>325</v>
      </c>
      <c r="D32" s="48">
        <f t="shared" si="0"/>
        <v>0.33505154639175255</v>
      </c>
      <c r="E32" s="34" t="s">
        <v>85</v>
      </c>
      <c r="G32">
        <v>0.41194644696189497</v>
      </c>
      <c r="H32" t="s">
        <v>85</v>
      </c>
    </row>
    <row r="33" spans="1:8" x14ac:dyDescent="0.3">
      <c r="A33" s="45">
        <v>44044</v>
      </c>
      <c r="B33" s="34">
        <v>971</v>
      </c>
      <c r="C33" s="46">
        <v>400</v>
      </c>
      <c r="D33" s="48">
        <f t="shared" si="0"/>
        <v>0.41194644696189497</v>
      </c>
      <c r="E33" s="34" t="s">
        <v>85</v>
      </c>
      <c r="G33">
        <v>0.39644970414201186</v>
      </c>
      <c r="H33" t="s">
        <v>85</v>
      </c>
    </row>
    <row r="34" spans="1:8" x14ac:dyDescent="0.3">
      <c r="A34" s="45">
        <v>44075</v>
      </c>
      <c r="B34" s="34">
        <v>1014</v>
      </c>
      <c r="C34" s="46">
        <v>402</v>
      </c>
      <c r="D34" s="48">
        <f t="shared" si="0"/>
        <v>0.39644970414201186</v>
      </c>
      <c r="E34" s="34" t="s">
        <v>85</v>
      </c>
      <c r="G34">
        <v>0.3668763102725367</v>
      </c>
      <c r="H34" t="s">
        <v>85</v>
      </c>
    </row>
    <row r="35" spans="1:8" x14ac:dyDescent="0.3">
      <c r="A35" s="45">
        <v>44105</v>
      </c>
      <c r="B35" s="34">
        <v>954</v>
      </c>
      <c r="C35" s="46">
        <v>350</v>
      </c>
      <c r="D35" s="48">
        <f t="shared" si="0"/>
        <v>0.3668763102725367</v>
      </c>
      <c r="E35" s="34" t="s">
        <v>85</v>
      </c>
      <c r="G35">
        <v>0.3227408142999007</v>
      </c>
      <c r="H35" t="s">
        <v>85</v>
      </c>
    </row>
    <row r="36" spans="1:8" x14ac:dyDescent="0.3">
      <c r="A36" s="45">
        <v>44136</v>
      </c>
      <c r="B36" s="34">
        <v>1007</v>
      </c>
      <c r="C36" s="46">
        <v>325</v>
      </c>
      <c r="D36" s="48">
        <f t="shared" si="0"/>
        <v>0.3227408142999007</v>
      </c>
      <c r="E36" s="34" t="s">
        <v>85</v>
      </c>
      <c r="G36">
        <v>0.39781746031746029</v>
      </c>
      <c r="H36" t="s">
        <v>85</v>
      </c>
    </row>
    <row r="37" spans="1:8" x14ac:dyDescent="0.3">
      <c r="A37" s="45">
        <v>44166</v>
      </c>
      <c r="B37" s="34">
        <v>1008</v>
      </c>
      <c r="C37" s="46">
        <v>401</v>
      </c>
      <c r="D37" s="48">
        <f t="shared" si="0"/>
        <v>0.39781746031746029</v>
      </c>
      <c r="E37" s="34" t="s">
        <v>85</v>
      </c>
      <c r="G37">
        <v>0.3668763102725367</v>
      </c>
      <c r="H37" t="s">
        <v>85</v>
      </c>
    </row>
    <row r="38" spans="1:8" x14ac:dyDescent="0.3">
      <c r="A38" s="45">
        <v>44197</v>
      </c>
      <c r="B38" s="34">
        <v>954</v>
      </c>
      <c r="C38" s="46">
        <v>350</v>
      </c>
      <c r="D38" s="48">
        <f t="shared" si="0"/>
        <v>0.3668763102725367</v>
      </c>
      <c r="E38" s="34" t="s">
        <v>85</v>
      </c>
      <c r="G38">
        <v>0.33505154639175255</v>
      </c>
      <c r="H38" t="s">
        <v>85</v>
      </c>
    </row>
    <row r="39" spans="1:8" x14ac:dyDescent="0.3">
      <c r="A39" s="45">
        <v>44228</v>
      </c>
      <c r="B39" s="34">
        <v>970</v>
      </c>
      <c r="C39" s="46">
        <v>325</v>
      </c>
      <c r="D39" s="48">
        <f t="shared" si="0"/>
        <v>0.33505154639175255</v>
      </c>
      <c r="E39" s="34" t="s">
        <v>85</v>
      </c>
      <c r="G39">
        <v>0.41194644696189497</v>
      </c>
      <c r="H39" t="s">
        <v>85</v>
      </c>
    </row>
    <row r="40" spans="1:8" x14ac:dyDescent="0.3">
      <c r="A40" s="45">
        <v>44256</v>
      </c>
      <c r="B40" s="34">
        <v>971</v>
      </c>
      <c r="C40" s="46">
        <v>400</v>
      </c>
      <c r="D40" s="48">
        <f t="shared" si="0"/>
        <v>0.41194644696189497</v>
      </c>
      <c r="E40" s="34" t="s">
        <v>85</v>
      </c>
      <c r="G40">
        <v>0.39644970414201186</v>
      </c>
      <c r="H40" t="s">
        <v>85</v>
      </c>
    </row>
    <row r="41" spans="1:8" x14ac:dyDescent="0.3">
      <c r="A41" s="45">
        <v>44287</v>
      </c>
      <c r="B41" s="34">
        <v>1014</v>
      </c>
      <c r="C41" s="46">
        <v>402</v>
      </c>
      <c r="D41" s="48">
        <f t="shared" si="0"/>
        <v>0.39644970414201186</v>
      </c>
      <c r="E41" s="34" t="s">
        <v>85</v>
      </c>
      <c r="G41">
        <v>0.3668763102725367</v>
      </c>
      <c r="H41" t="s">
        <v>85</v>
      </c>
    </row>
    <row r="42" spans="1:8" x14ac:dyDescent="0.3">
      <c r="A42" s="45">
        <v>44317</v>
      </c>
      <c r="B42" s="34">
        <v>954</v>
      </c>
      <c r="C42" s="46">
        <v>350</v>
      </c>
      <c r="D42" s="48">
        <f t="shared" si="0"/>
        <v>0.3668763102725367</v>
      </c>
      <c r="E42" s="34" t="s">
        <v>85</v>
      </c>
      <c r="G42">
        <v>0.3227408142999007</v>
      </c>
      <c r="H42" t="s">
        <v>85</v>
      </c>
    </row>
    <row r="43" spans="1:8" x14ac:dyDescent="0.3">
      <c r="A43" s="45">
        <v>44348</v>
      </c>
      <c r="B43" s="34">
        <v>1007</v>
      </c>
      <c r="C43" s="46">
        <v>325</v>
      </c>
      <c r="D43" s="48">
        <f t="shared" si="0"/>
        <v>0.3227408142999007</v>
      </c>
      <c r="E43" s="34" t="s">
        <v>85</v>
      </c>
      <c r="G43">
        <v>0.3668763102725367</v>
      </c>
      <c r="H43" t="s">
        <v>85</v>
      </c>
    </row>
    <row r="44" spans="1:8" x14ac:dyDescent="0.3">
      <c r="A44" s="45">
        <v>44378</v>
      </c>
      <c r="B44" s="34">
        <v>954</v>
      </c>
      <c r="C44" s="46">
        <v>350</v>
      </c>
      <c r="D44" s="48">
        <f t="shared" si="0"/>
        <v>0.3668763102725367</v>
      </c>
      <c r="E44" s="34" t="s">
        <v>85</v>
      </c>
      <c r="G44">
        <v>0.39644970414201186</v>
      </c>
      <c r="H44" t="s">
        <v>85</v>
      </c>
    </row>
    <row r="45" spans="1:8" x14ac:dyDescent="0.3">
      <c r="A45" s="45">
        <v>44409</v>
      </c>
      <c r="B45" s="34">
        <v>1014</v>
      </c>
      <c r="C45" s="46">
        <v>402</v>
      </c>
      <c r="D45" s="48">
        <f t="shared" si="0"/>
        <v>0.39644970414201186</v>
      </c>
      <c r="E45" s="34" t="s">
        <v>85</v>
      </c>
      <c r="G45">
        <v>0.3668763102725367</v>
      </c>
      <c r="H45" t="s">
        <v>85</v>
      </c>
    </row>
    <row r="46" spans="1:8" x14ac:dyDescent="0.3">
      <c r="A46" s="45">
        <v>44440</v>
      </c>
      <c r="B46" s="34">
        <v>954</v>
      </c>
      <c r="C46" s="46">
        <v>350</v>
      </c>
      <c r="D46" s="48">
        <f t="shared" si="0"/>
        <v>0.3668763102725367</v>
      </c>
      <c r="E46" s="34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of Contents</vt:lpstr>
      <vt:lpstr>ANOVA</vt:lpstr>
      <vt:lpstr>Attribute Agreement</vt:lpstr>
      <vt:lpstr>Chi-Sq</vt:lpstr>
      <vt:lpstr>Control Charts</vt:lpstr>
      <vt:lpstr>DOE</vt:lpstr>
      <vt:lpstr>GAGE R R</vt:lpstr>
      <vt:lpstr>Paired T Test</vt:lpstr>
      <vt:lpstr>Pareto</vt:lpstr>
      <vt:lpstr>Process Capability</vt:lpstr>
      <vt:lpstr>Regression</vt:lpstr>
      <vt:lpstr>Two Proportions</vt:lpstr>
      <vt:lpstr>Two Sample T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Blackburn, Tim</dc:creator>
  <cp:keywords/>
  <dc:description/>
  <cp:lastModifiedBy>Wenluan Zhang</cp:lastModifiedBy>
  <cp:revision/>
  <dcterms:created xsi:type="dcterms:W3CDTF">2020-01-23T14:45:21Z</dcterms:created>
  <dcterms:modified xsi:type="dcterms:W3CDTF">2025-11-06T05:37:44Z</dcterms:modified>
  <cp:category/>
  <cp:contentStatus/>
</cp:coreProperties>
</file>